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roject\project\cnc_1_0_0\software\trunk\doc\"/>
    </mc:Choice>
  </mc:AlternateContent>
  <xr:revisionPtr revIDLastSave="0" documentId="13_ncr:1_{03F86953-1B87-45F2-A6F5-BB7388E024B1}" xr6:coauthVersionLast="47" xr6:coauthVersionMax="47" xr10:uidLastSave="{00000000-0000-0000-0000-000000000000}"/>
  <bookViews>
    <workbookView xWindow="-120" yWindow="-120" windowWidth="29040" windowHeight="17640" tabRatio="818" firstSheet="1" activeTab="2" xr2:uid="{00000000-000D-0000-FFFF-FFFF00000000}"/>
  </bookViews>
  <sheets>
    <sheet name="General" sheetId="10" r:id="rId1"/>
    <sheet name="cnc_1_0_0_old_grbl" sheetId="21" r:id="rId2"/>
    <sheet name="CodeGen_cnc_1_0_0_old_grbl" sheetId="22" r:id="rId3"/>
    <sheet name="Arduino" sheetId="19" r:id="rId4"/>
    <sheet name="CodeGen_Arduino" sheetId="20" r:id="rId5"/>
    <sheet name="cnc_1_0_0" sheetId="17" r:id="rId6"/>
    <sheet name="CodeGen_cnc_1_0_0" sheetId="18" r:id="rId7"/>
    <sheet name="cnc_1_0_0_mz" sheetId="23" r:id="rId8"/>
    <sheet name="CodeGen_cnc_1_0_0_mz" sheetId="24" r:id="rId9"/>
    <sheet name="cnc_1_0_0_simulator" sheetId="11" r:id="rId10"/>
    <sheet name="CodeGen_cnc_1_0_0_Simulator" sheetId="12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1" l="1"/>
  <c r="K10" i="11"/>
  <c r="L10" i="11"/>
  <c r="L9" i="11"/>
  <c r="K9" i="11"/>
  <c r="J9" i="11"/>
  <c r="L21" i="11"/>
  <c r="K21" i="11"/>
  <c r="L8" i="11"/>
  <c r="L7" i="11"/>
  <c r="K8" i="11"/>
  <c r="K7" i="11"/>
  <c r="J8" i="11"/>
  <c r="J7" i="11"/>
  <c r="J21" i="11"/>
  <c r="A79" i="24"/>
  <c r="A78" i="24"/>
  <c r="A77" i="24"/>
  <c r="A76" i="24"/>
  <c r="A74" i="24"/>
  <c r="A73" i="24"/>
  <c r="A72" i="24"/>
  <c r="A71" i="24"/>
  <c r="A69" i="24"/>
  <c r="A68" i="24"/>
  <c r="A67" i="24"/>
  <c r="A66" i="24"/>
  <c r="A64" i="24"/>
  <c r="A63" i="24"/>
  <c r="A62" i="24"/>
  <c r="A61" i="24"/>
  <c r="A59" i="24"/>
  <c r="A58" i="24"/>
  <c r="A57" i="24"/>
  <c r="A56" i="24"/>
  <c r="A54" i="24"/>
  <c r="A53" i="24"/>
  <c r="A52" i="24"/>
  <c r="A51" i="24"/>
  <c r="A49" i="24"/>
  <c r="A47" i="24"/>
  <c r="A45" i="24"/>
  <c r="A44" i="24"/>
  <c r="A42" i="24"/>
  <c r="A41" i="24"/>
  <c r="A39" i="24"/>
  <c r="A38" i="24"/>
  <c r="A37" i="24"/>
  <c r="A35" i="24"/>
  <c r="A34" i="24"/>
  <c r="A33" i="24"/>
  <c r="A31" i="24"/>
  <c r="A30" i="24"/>
  <c r="A29" i="24"/>
  <c r="A28" i="24"/>
  <c r="A27" i="24"/>
  <c r="A26" i="24"/>
  <c r="A24" i="24"/>
  <c r="A23" i="24"/>
  <c r="A21" i="24"/>
  <c r="A20" i="24"/>
  <c r="A19" i="24"/>
  <c r="A18" i="24"/>
  <c r="A17" i="24"/>
  <c r="A16" i="24"/>
  <c r="A14" i="24"/>
  <c r="A13" i="24"/>
  <c r="A12" i="24"/>
  <c r="A11" i="24"/>
  <c r="A10" i="24"/>
  <c r="A9" i="24"/>
  <c r="K21" i="23"/>
  <c r="S21" i="23" s="1"/>
  <c r="J21" i="23"/>
  <c r="R21" i="23" s="1"/>
  <c r="I21" i="23"/>
  <c r="Q21" i="23" s="1"/>
  <c r="H21" i="23"/>
  <c r="V21" i="23" s="1"/>
  <c r="G21" i="23"/>
  <c r="M21" i="23" s="1"/>
  <c r="U21" i="23" s="1"/>
  <c r="K20" i="23"/>
  <c r="S20" i="23" s="1"/>
  <c r="J20" i="23"/>
  <c r="R20" i="23" s="1"/>
  <c r="I20" i="23"/>
  <c r="Q20" i="23" s="1"/>
  <c r="H20" i="23"/>
  <c r="V20" i="23" s="1"/>
  <c r="G20" i="23"/>
  <c r="M20" i="23" s="1"/>
  <c r="U20" i="23" s="1"/>
  <c r="L19" i="23"/>
  <c r="T19" i="23" s="1"/>
  <c r="K19" i="23"/>
  <c r="S19" i="23" s="1"/>
  <c r="J19" i="23"/>
  <c r="R19" i="23" s="1"/>
  <c r="I19" i="23"/>
  <c r="Q19" i="23" s="1"/>
  <c r="H19" i="23"/>
  <c r="V19" i="23" s="1"/>
  <c r="G19" i="23"/>
  <c r="M19" i="23" s="1"/>
  <c r="U19" i="23" s="1"/>
  <c r="K18" i="23"/>
  <c r="S18" i="23" s="1"/>
  <c r="J18" i="23"/>
  <c r="R18" i="23" s="1"/>
  <c r="I18" i="23"/>
  <c r="Q18" i="23" s="1"/>
  <c r="H18" i="23"/>
  <c r="V18" i="23" s="1"/>
  <c r="G18" i="23"/>
  <c r="M18" i="23" s="1"/>
  <c r="U18" i="23" s="1"/>
  <c r="V17" i="23"/>
  <c r="M17" i="23"/>
  <c r="U17" i="23" s="1"/>
  <c r="L17" i="23"/>
  <c r="T17" i="23" s="1"/>
  <c r="K17" i="23"/>
  <c r="S17" i="23" s="1"/>
  <c r="J17" i="23"/>
  <c r="R17" i="23" s="1"/>
  <c r="I17" i="23"/>
  <c r="Q17" i="23" s="1"/>
  <c r="H17" i="23"/>
  <c r="G17" i="23"/>
  <c r="V16" i="23"/>
  <c r="T16" i="23"/>
  <c r="L16" i="23"/>
  <c r="K16" i="23"/>
  <c r="S16" i="23" s="1"/>
  <c r="J16" i="23"/>
  <c r="R16" i="23" s="1"/>
  <c r="I16" i="23"/>
  <c r="Q16" i="23" s="1"/>
  <c r="H16" i="23"/>
  <c r="G16" i="23"/>
  <c r="M16" i="23" s="1"/>
  <c r="U16" i="23" s="1"/>
  <c r="K15" i="23"/>
  <c r="S15" i="23" s="1"/>
  <c r="J15" i="23"/>
  <c r="R15" i="23" s="1"/>
  <c r="I15" i="23"/>
  <c r="Q15" i="23" s="1"/>
  <c r="H15" i="23"/>
  <c r="V15" i="23" s="1"/>
  <c r="G15" i="23"/>
  <c r="M15" i="23" s="1"/>
  <c r="U15" i="23" s="1"/>
  <c r="V14" i="23"/>
  <c r="M14" i="23"/>
  <c r="U14" i="23" s="1"/>
  <c r="L14" i="23"/>
  <c r="T14" i="23" s="1"/>
  <c r="K14" i="23"/>
  <c r="S14" i="23" s="1"/>
  <c r="J14" i="23"/>
  <c r="R14" i="23" s="1"/>
  <c r="I14" i="23"/>
  <c r="Q14" i="23" s="1"/>
  <c r="H14" i="23"/>
  <c r="G14" i="23"/>
  <c r="U13" i="23"/>
  <c r="T13" i="23"/>
  <c r="M13" i="23"/>
  <c r="L13" i="23"/>
  <c r="K13" i="23"/>
  <c r="S13" i="23" s="1"/>
  <c r="J13" i="23"/>
  <c r="R13" i="23" s="1"/>
  <c r="I13" i="23"/>
  <c r="Q13" i="23" s="1"/>
  <c r="H13" i="23"/>
  <c r="V13" i="23" s="1"/>
  <c r="V12" i="23"/>
  <c r="M12" i="23"/>
  <c r="U12" i="23" s="1"/>
  <c r="L12" i="23"/>
  <c r="T12" i="23" s="1"/>
  <c r="K12" i="23"/>
  <c r="S12" i="23" s="1"/>
  <c r="J12" i="23"/>
  <c r="R12" i="23" s="1"/>
  <c r="I12" i="23"/>
  <c r="Q12" i="23" s="1"/>
  <c r="H12" i="23"/>
  <c r="U11" i="23"/>
  <c r="T11" i="23"/>
  <c r="M11" i="23"/>
  <c r="L11" i="23"/>
  <c r="K11" i="23"/>
  <c r="S11" i="23" s="1"/>
  <c r="J11" i="23"/>
  <c r="R11" i="23" s="1"/>
  <c r="I11" i="23"/>
  <c r="Q11" i="23" s="1"/>
  <c r="H11" i="23"/>
  <c r="V11" i="23" s="1"/>
  <c r="V10" i="23"/>
  <c r="M10" i="23"/>
  <c r="U10" i="23" s="1"/>
  <c r="L10" i="23"/>
  <c r="T10" i="23" s="1"/>
  <c r="K10" i="23"/>
  <c r="S10" i="23" s="1"/>
  <c r="J10" i="23"/>
  <c r="R10" i="23" s="1"/>
  <c r="I10" i="23"/>
  <c r="Q10" i="23" s="1"/>
  <c r="V9" i="23"/>
  <c r="S9" i="23"/>
  <c r="R9" i="23"/>
  <c r="K9" i="23"/>
  <c r="J9" i="23"/>
  <c r="I9" i="23"/>
  <c r="Q9" i="23" s="1"/>
  <c r="G9" i="23"/>
  <c r="M9" i="23" s="1"/>
  <c r="U9" i="23" s="1"/>
  <c r="V8" i="23"/>
  <c r="U8" i="23"/>
  <c r="Q8" i="23"/>
  <c r="M8" i="23"/>
  <c r="L8" i="23"/>
  <c r="T8" i="23" s="1"/>
  <c r="K8" i="23"/>
  <c r="S8" i="23" s="1"/>
  <c r="J8" i="23"/>
  <c r="R8" i="23" s="1"/>
  <c r="I8" i="23"/>
  <c r="H8" i="23"/>
  <c r="G8" i="23"/>
  <c r="S7" i="23"/>
  <c r="R7" i="23"/>
  <c r="K7" i="23"/>
  <c r="J7" i="23"/>
  <c r="I7" i="23"/>
  <c r="Q7" i="23" s="1"/>
  <c r="H7" i="23"/>
  <c r="V7" i="23" s="1"/>
  <c r="G7" i="23"/>
  <c r="M7" i="23" s="1"/>
  <c r="U7" i="23" s="1"/>
  <c r="S6" i="23"/>
  <c r="R6" i="23"/>
  <c r="Q6" i="23"/>
  <c r="M6" i="23"/>
  <c r="U6" i="23" s="1"/>
  <c r="L6" i="23"/>
  <c r="T6" i="23" s="1"/>
  <c r="K6" i="23"/>
  <c r="J6" i="23"/>
  <c r="I6" i="23"/>
  <c r="H6" i="23"/>
  <c r="V6" i="23" s="1"/>
  <c r="G6" i="23"/>
  <c r="V5" i="23"/>
  <c r="U5" i="23"/>
  <c r="T5" i="23"/>
  <c r="M5" i="23"/>
  <c r="L5" i="23"/>
  <c r="K5" i="23"/>
  <c r="S5" i="23" s="1"/>
  <c r="J5" i="23"/>
  <c r="R5" i="23" s="1"/>
  <c r="I5" i="23"/>
  <c r="Q5" i="23" s="1"/>
  <c r="H5" i="23"/>
  <c r="G5" i="23"/>
  <c r="S4" i="23"/>
  <c r="R4" i="23"/>
  <c r="Q4" i="23"/>
  <c r="K4" i="23"/>
  <c r="J4" i="23"/>
  <c r="I4" i="23"/>
  <c r="H4" i="23"/>
  <c r="V4" i="23" s="1"/>
  <c r="G4" i="23"/>
  <c r="M4" i="23" s="1"/>
  <c r="U4" i="23" s="1"/>
  <c r="V3" i="23"/>
  <c r="M3" i="23"/>
  <c r="U3" i="23" s="1"/>
  <c r="L3" i="23"/>
  <c r="T3" i="23" s="1"/>
  <c r="K3" i="23"/>
  <c r="S3" i="23" s="1"/>
  <c r="J3" i="23"/>
  <c r="R3" i="23" s="1"/>
  <c r="I3" i="23"/>
  <c r="Q3" i="23" s="1"/>
  <c r="H3" i="23"/>
  <c r="K2" i="23"/>
  <c r="S2" i="23" s="1"/>
  <c r="J2" i="23"/>
  <c r="R2" i="23" s="1"/>
  <c r="I2" i="23"/>
  <c r="Q2" i="23" s="1"/>
  <c r="H2" i="23"/>
  <c r="V2" i="23" s="1"/>
  <c r="G2" i="23"/>
  <c r="M2" i="23" s="1"/>
  <c r="U2" i="23" s="1"/>
  <c r="L7" i="23" l="1"/>
  <c r="T7" i="23" s="1"/>
  <c r="L21" i="23"/>
  <c r="T21" i="23" s="1"/>
  <c r="L2" i="23"/>
  <c r="T2" i="23" s="1"/>
  <c r="L4" i="23"/>
  <c r="T4" i="23" s="1"/>
  <c r="L9" i="23"/>
  <c r="T9" i="23" s="1"/>
  <c r="L18" i="23"/>
  <c r="T18" i="23" s="1"/>
  <c r="L15" i="23"/>
  <c r="T15" i="23" s="1"/>
  <c r="L20" i="23"/>
  <c r="T20" i="23" s="1"/>
  <c r="K21" i="21"/>
  <c r="S21" i="21" s="1"/>
  <c r="A54" i="22" s="1"/>
  <c r="J21" i="21"/>
  <c r="R21" i="21" s="1"/>
  <c r="I21" i="21"/>
  <c r="Q21" i="21" s="1"/>
  <c r="A53" i="22" s="1"/>
  <c r="H21" i="21"/>
  <c r="V21" i="21" s="1"/>
  <c r="G21" i="21"/>
  <c r="M21" i="21" s="1"/>
  <c r="U21" i="21" s="1"/>
  <c r="K20" i="21"/>
  <c r="S20" i="21" s="1"/>
  <c r="A12" i="22" s="1"/>
  <c r="J20" i="21"/>
  <c r="R20" i="21" s="1"/>
  <c r="I20" i="21"/>
  <c r="Q20" i="21" s="1"/>
  <c r="A9" i="22" s="1"/>
  <c r="H20" i="21"/>
  <c r="V20" i="21" s="1"/>
  <c r="G20" i="21"/>
  <c r="M20" i="21" s="1"/>
  <c r="U20" i="21" s="1"/>
  <c r="K19" i="21"/>
  <c r="S19" i="21" s="1"/>
  <c r="A13" i="22" s="1"/>
  <c r="J19" i="21"/>
  <c r="R19" i="21" s="1"/>
  <c r="I19" i="21"/>
  <c r="Q19" i="21" s="1"/>
  <c r="A10" i="22" s="1"/>
  <c r="H19" i="21"/>
  <c r="V19" i="21" s="1"/>
  <c r="G19" i="21"/>
  <c r="L19" i="21" s="1"/>
  <c r="T19" i="21" s="1"/>
  <c r="M18" i="21"/>
  <c r="U18" i="21" s="1"/>
  <c r="L18" i="21"/>
  <c r="T18" i="21" s="1"/>
  <c r="K18" i="21"/>
  <c r="S18" i="21" s="1"/>
  <c r="A14" i="22" s="1"/>
  <c r="J18" i="21"/>
  <c r="R18" i="21" s="1"/>
  <c r="I18" i="21"/>
  <c r="Q18" i="21" s="1"/>
  <c r="A11" i="22" s="1"/>
  <c r="H18" i="21"/>
  <c r="V18" i="21" s="1"/>
  <c r="G18" i="21"/>
  <c r="K17" i="21"/>
  <c r="S17" i="21" s="1"/>
  <c r="A19" i="22" s="1"/>
  <c r="J17" i="21"/>
  <c r="R17" i="21" s="1"/>
  <c r="I17" i="21"/>
  <c r="Q17" i="21" s="1"/>
  <c r="A16" i="22" s="1"/>
  <c r="H17" i="21"/>
  <c r="V17" i="21" s="1"/>
  <c r="G17" i="21"/>
  <c r="M17" i="21" s="1"/>
  <c r="U17" i="21" s="1"/>
  <c r="L16" i="21"/>
  <c r="T16" i="21" s="1"/>
  <c r="K16" i="21"/>
  <c r="S16" i="21" s="1"/>
  <c r="A20" i="22" s="1"/>
  <c r="J16" i="21"/>
  <c r="R16" i="21" s="1"/>
  <c r="I16" i="21"/>
  <c r="Q16" i="21" s="1"/>
  <c r="A17" i="22" s="1"/>
  <c r="H16" i="21"/>
  <c r="V16" i="21" s="1"/>
  <c r="G16" i="21"/>
  <c r="M16" i="21" s="1"/>
  <c r="U16" i="21" s="1"/>
  <c r="M15" i="21"/>
  <c r="U15" i="21" s="1"/>
  <c r="K15" i="21"/>
  <c r="S15" i="21" s="1"/>
  <c r="A21" i="22" s="1"/>
  <c r="J15" i="21"/>
  <c r="R15" i="21" s="1"/>
  <c r="I15" i="21"/>
  <c r="Q15" i="21" s="1"/>
  <c r="A18" i="22" s="1"/>
  <c r="H15" i="21"/>
  <c r="V15" i="21" s="1"/>
  <c r="G15" i="21"/>
  <c r="L15" i="21" s="1"/>
  <c r="T15" i="21" s="1"/>
  <c r="Q14" i="21"/>
  <c r="A23" i="22" s="1"/>
  <c r="M14" i="21"/>
  <c r="U14" i="21" s="1"/>
  <c r="L14" i="21"/>
  <c r="T14" i="21" s="1"/>
  <c r="K14" i="21"/>
  <c r="S14" i="21" s="1"/>
  <c r="A24" i="22" s="1"/>
  <c r="J14" i="21"/>
  <c r="R14" i="21" s="1"/>
  <c r="I14" i="21"/>
  <c r="H14" i="21"/>
  <c r="V14" i="21" s="1"/>
  <c r="G14" i="21"/>
  <c r="T13" i="21"/>
  <c r="A33" i="22" s="1"/>
  <c r="R13" i="21"/>
  <c r="A29" i="22" s="1"/>
  <c r="M13" i="21"/>
  <c r="U13" i="21" s="1"/>
  <c r="A37" i="22" s="1"/>
  <c r="L13" i="21"/>
  <c r="K13" i="21"/>
  <c r="S13" i="21" s="1"/>
  <c r="J13" i="21"/>
  <c r="I13" i="21"/>
  <c r="Q13" i="21" s="1"/>
  <c r="A26" i="22" s="1"/>
  <c r="H13" i="21"/>
  <c r="V13" i="21" s="1"/>
  <c r="T12" i="21"/>
  <c r="A34" i="22" s="1"/>
  <c r="R12" i="21"/>
  <c r="A30" i="22" s="1"/>
  <c r="M12" i="21"/>
  <c r="U12" i="21" s="1"/>
  <c r="A38" i="22" s="1"/>
  <c r="L12" i="21"/>
  <c r="K12" i="21"/>
  <c r="S12" i="21" s="1"/>
  <c r="J12" i="21"/>
  <c r="I12" i="21"/>
  <c r="Q12" i="21" s="1"/>
  <c r="A27" i="22" s="1"/>
  <c r="H12" i="21"/>
  <c r="V12" i="21" s="1"/>
  <c r="T11" i="21"/>
  <c r="A35" i="22" s="1"/>
  <c r="R11" i="21"/>
  <c r="A31" i="22" s="1"/>
  <c r="M11" i="21"/>
  <c r="U11" i="21" s="1"/>
  <c r="A39" i="22" s="1"/>
  <c r="L11" i="21"/>
  <c r="K11" i="21"/>
  <c r="S11" i="21" s="1"/>
  <c r="J11" i="21"/>
  <c r="I11" i="21"/>
  <c r="Q11" i="21" s="1"/>
  <c r="A28" i="22" s="1"/>
  <c r="H11" i="21"/>
  <c r="V11" i="21" s="1"/>
  <c r="V10" i="21"/>
  <c r="A49" i="22" s="1"/>
  <c r="T10" i="21"/>
  <c r="M10" i="21"/>
  <c r="U10" i="21" s="1"/>
  <c r="L10" i="21"/>
  <c r="K10" i="21"/>
  <c r="S10" i="21" s="1"/>
  <c r="J10" i="21"/>
  <c r="R10" i="21" s="1"/>
  <c r="I10" i="21"/>
  <c r="Q10" i="21" s="1"/>
  <c r="A47" i="22" s="1"/>
  <c r="V9" i="21"/>
  <c r="S9" i="21"/>
  <c r="A42" i="22" s="1"/>
  <c r="K9" i="21"/>
  <c r="J9" i="21"/>
  <c r="R9" i="21" s="1"/>
  <c r="I9" i="21"/>
  <c r="Q9" i="21" s="1"/>
  <c r="A41" i="22" s="1"/>
  <c r="G9" i="21"/>
  <c r="M9" i="21" s="1"/>
  <c r="U9" i="21" s="1"/>
  <c r="S8" i="21"/>
  <c r="A45" i="22" s="1"/>
  <c r="K8" i="21"/>
  <c r="J8" i="21"/>
  <c r="R8" i="21" s="1"/>
  <c r="I8" i="21"/>
  <c r="Q8" i="21" s="1"/>
  <c r="A44" i="22" s="1"/>
  <c r="H8" i="21"/>
  <c r="V8" i="21" s="1"/>
  <c r="G8" i="21"/>
  <c r="M8" i="21" s="1"/>
  <c r="U8" i="21" s="1"/>
  <c r="K7" i="21"/>
  <c r="S7" i="21" s="1"/>
  <c r="A52" i="22" s="1"/>
  <c r="J7" i="21"/>
  <c r="R7" i="21" s="1"/>
  <c r="I7" i="21"/>
  <c r="Q7" i="21" s="1"/>
  <c r="A51" i="22" s="1"/>
  <c r="H7" i="21"/>
  <c r="V7" i="21" s="1"/>
  <c r="G7" i="21"/>
  <c r="M7" i="21" s="1"/>
  <c r="U7" i="21" s="1"/>
  <c r="S6" i="21"/>
  <c r="K6" i="21"/>
  <c r="J6" i="21"/>
  <c r="R6" i="21" s="1"/>
  <c r="A64" i="22" s="1"/>
  <c r="I6" i="21"/>
  <c r="Q6" i="21" s="1"/>
  <c r="A59" i="22" s="1"/>
  <c r="H6" i="21"/>
  <c r="V6" i="21" s="1"/>
  <c r="G6" i="21"/>
  <c r="M6" i="21" s="1"/>
  <c r="U6" i="21" s="1"/>
  <c r="A74" i="22" s="1"/>
  <c r="V5" i="21"/>
  <c r="K5" i="21"/>
  <c r="S5" i="21" s="1"/>
  <c r="J5" i="21"/>
  <c r="R5" i="21" s="1"/>
  <c r="A63" i="22" s="1"/>
  <c r="I5" i="21"/>
  <c r="Q5" i="21" s="1"/>
  <c r="A58" i="22" s="1"/>
  <c r="H5" i="21"/>
  <c r="G5" i="21"/>
  <c r="L5" i="21" s="1"/>
  <c r="T5" i="21" s="1"/>
  <c r="A68" i="22" s="1"/>
  <c r="K4" i="21"/>
  <c r="S4" i="21" s="1"/>
  <c r="J4" i="21"/>
  <c r="R4" i="21" s="1"/>
  <c r="A62" i="22" s="1"/>
  <c r="I4" i="21"/>
  <c r="Q4" i="21" s="1"/>
  <c r="A57" i="22" s="1"/>
  <c r="H4" i="21"/>
  <c r="V4" i="21" s="1"/>
  <c r="G4" i="21"/>
  <c r="M4" i="21" s="1"/>
  <c r="U4" i="21" s="1"/>
  <c r="A72" i="22" s="1"/>
  <c r="M3" i="21"/>
  <c r="U3" i="21" s="1"/>
  <c r="A71" i="22" s="1"/>
  <c r="L3" i="21"/>
  <c r="T3" i="21" s="1"/>
  <c r="A66" i="22" s="1"/>
  <c r="K3" i="21"/>
  <c r="S3" i="21" s="1"/>
  <c r="J3" i="21"/>
  <c r="R3" i="21" s="1"/>
  <c r="A61" i="22" s="1"/>
  <c r="I3" i="21"/>
  <c r="Q3" i="21" s="1"/>
  <c r="A56" i="22" s="1"/>
  <c r="H3" i="21"/>
  <c r="V3" i="21" s="1"/>
  <c r="K2" i="21"/>
  <c r="S2" i="21" s="1"/>
  <c r="J2" i="21"/>
  <c r="R2" i="21" s="1"/>
  <c r="A77" i="22" s="1"/>
  <c r="I2" i="21"/>
  <c r="Q2" i="21" s="1"/>
  <c r="A76" i="22" s="1"/>
  <c r="H2" i="21"/>
  <c r="V2" i="21" s="1"/>
  <c r="G2" i="21"/>
  <c r="M2" i="21" s="1"/>
  <c r="U2" i="21" s="1"/>
  <c r="A79" i="22" s="1"/>
  <c r="L4" i="21" l="1"/>
  <c r="T4" i="21" s="1"/>
  <c r="A67" i="22" s="1"/>
  <c r="L8" i="21"/>
  <c r="T8" i="21" s="1"/>
  <c r="M5" i="21"/>
  <c r="U5" i="21" s="1"/>
  <c r="A73" i="22" s="1"/>
  <c r="L6" i="21"/>
  <c r="T6" i="21" s="1"/>
  <c r="A69" i="22" s="1"/>
  <c r="M19" i="21"/>
  <c r="U19" i="21" s="1"/>
  <c r="L20" i="21"/>
  <c r="T20" i="21" s="1"/>
  <c r="L2" i="21"/>
  <c r="T2" i="21" s="1"/>
  <c r="A78" i="22" s="1"/>
  <c r="L7" i="21"/>
  <c r="T7" i="21" s="1"/>
  <c r="L17" i="21"/>
  <c r="T17" i="21" s="1"/>
  <c r="L21" i="21"/>
  <c r="T21" i="21" s="1"/>
  <c r="L9" i="21"/>
  <c r="T9" i="21" s="1"/>
  <c r="K21" i="19"/>
  <c r="S21" i="19" s="1"/>
  <c r="A54" i="20" s="1"/>
  <c r="J21" i="19"/>
  <c r="R21" i="19" s="1"/>
  <c r="I21" i="19"/>
  <c r="Q21" i="19" s="1"/>
  <c r="A53" i="20" s="1"/>
  <c r="H21" i="19"/>
  <c r="V21" i="19" s="1"/>
  <c r="G21" i="19"/>
  <c r="M21" i="19" s="1"/>
  <c r="U21" i="19" s="1"/>
  <c r="K20" i="19"/>
  <c r="S20" i="19" s="1"/>
  <c r="A12" i="20" s="1"/>
  <c r="J20" i="19"/>
  <c r="R20" i="19" s="1"/>
  <c r="I20" i="19"/>
  <c r="Q20" i="19" s="1"/>
  <c r="A9" i="20" s="1"/>
  <c r="H20" i="19"/>
  <c r="V20" i="19" s="1"/>
  <c r="G20" i="19"/>
  <c r="M20" i="19" s="1"/>
  <c r="U20" i="19" s="1"/>
  <c r="K19" i="19"/>
  <c r="S19" i="19" s="1"/>
  <c r="A13" i="20" s="1"/>
  <c r="J19" i="19"/>
  <c r="R19" i="19" s="1"/>
  <c r="I19" i="19"/>
  <c r="Q19" i="19" s="1"/>
  <c r="A10" i="20" s="1"/>
  <c r="H19" i="19"/>
  <c r="V19" i="19" s="1"/>
  <c r="G19" i="19"/>
  <c r="M19" i="19" s="1"/>
  <c r="U19" i="19" s="1"/>
  <c r="K18" i="19"/>
  <c r="S18" i="19" s="1"/>
  <c r="A14" i="20" s="1"/>
  <c r="J18" i="19"/>
  <c r="R18" i="19" s="1"/>
  <c r="I18" i="19"/>
  <c r="Q18" i="19" s="1"/>
  <c r="A11" i="20" s="1"/>
  <c r="H18" i="19"/>
  <c r="V18" i="19" s="1"/>
  <c r="G18" i="19"/>
  <c r="L18" i="19" s="1"/>
  <c r="T18" i="19" s="1"/>
  <c r="K17" i="19"/>
  <c r="S17" i="19" s="1"/>
  <c r="A19" i="20" s="1"/>
  <c r="J17" i="19"/>
  <c r="R17" i="19" s="1"/>
  <c r="I17" i="19"/>
  <c r="Q17" i="19" s="1"/>
  <c r="A16" i="20" s="1"/>
  <c r="H17" i="19"/>
  <c r="V17" i="19" s="1"/>
  <c r="G17" i="19"/>
  <c r="M17" i="19" s="1"/>
  <c r="U17" i="19" s="1"/>
  <c r="K16" i="19"/>
  <c r="S16" i="19" s="1"/>
  <c r="A20" i="20" s="1"/>
  <c r="J16" i="19"/>
  <c r="R16" i="19" s="1"/>
  <c r="I16" i="19"/>
  <c r="Q16" i="19" s="1"/>
  <c r="A17" i="20" s="1"/>
  <c r="H16" i="19"/>
  <c r="V16" i="19" s="1"/>
  <c r="G16" i="19"/>
  <c r="M16" i="19" s="1"/>
  <c r="U16" i="19" s="1"/>
  <c r="K15" i="19"/>
  <c r="S15" i="19" s="1"/>
  <c r="A21" i="20" s="1"/>
  <c r="J15" i="19"/>
  <c r="R15" i="19" s="1"/>
  <c r="I15" i="19"/>
  <c r="Q15" i="19" s="1"/>
  <c r="A18" i="20" s="1"/>
  <c r="H15" i="19"/>
  <c r="V15" i="19" s="1"/>
  <c r="M15" i="19"/>
  <c r="U15" i="19" s="1"/>
  <c r="K14" i="19"/>
  <c r="S14" i="19" s="1"/>
  <c r="A24" i="20" s="1"/>
  <c r="J14" i="19"/>
  <c r="R14" i="19" s="1"/>
  <c r="I14" i="19"/>
  <c r="Q14" i="19" s="1"/>
  <c r="A23" i="20" s="1"/>
  <c r="H14" i="19"/>
  <c r="V14" i="19" s="1"/>
  <c r="G14" i="19"/>
  <c r="L14" i="19" s="1"/>
  <c r="T14" i="19" s="1"/>
  <c r="U13" i="19"/>
  <c r="A37" i="20" s="1"/>
  <c r="M13" i="19"/>
  <c r="L13" i="19"/>
  <c r="T13" i="19" s="1"/>
  <c r="A33" i="20" s="1"/>
  <c r="K13" i="19"/>
  <c r="S13" i="19" s="1"/>
  <c r="J13" i="19"/>
  <c r="R13" i="19" s="1"/>
  <c r="A29" i="20" s="1"/>
  <c r="I13" i="19"/>
  <c r="Q13" i="19" s="1"/>
  <c r="A26" i="20" s="1"/>
  <c r="H13" i="19"/>
  <c r="V13" i="19" s="1"/>
  <c r="M12" i="19"/>
  <c r="U12" i="19" s="1"/>
  <c r="A38" i="20" s="1"/>
  <c r="L12" i="19"/>
  <c r="T12" i="19" s="1"/>
  <c r="A34" i="20" s="1"/>
  <c r="K12" i="19"/>
  <c r="S12" i="19" s="1"/>
  <c r="J12" i="19"/>
  <c r="R12" i="19" s="1"/>
  <c r="A30" i="20" s="1"/>
  <c r="I12" i="19"/>
  <c r="Q12" i="19" s="1"/>
  <c r="A27" i="20" s="1"/>
  <c r="H12" i="19"/>
  <c r="V12" i="19" s="1"/>
  <c r="M11" i="19"/>
  <c r="U11" i="19" s="1"/>
  <c r="A39" i="20" s="1"/>
  <c r="L11" i="19"/>
  <c r="T11" i="19" s="1"/>
  <c r="A35" i="20" s="1"/>
  <c r="K11" i="19"/>
  <c r="S11" i="19" s="1"/>
  <c r="J11" i="19"/>
  <c r="R11" i="19" s="1"/>
  <c r="A31" i="20" s="1"/>
  <c r="I11" i="19"/>
  <c r="Q11" i="19" s="1"/>
  <c r="A28" i="20" s="1"/>
  <c r="H11" i="19"/>
  <c r="V11" i="19" s="1"/>
  <c r="V10" i="19"/>
  <c r="A49" i="20" s="1"/>
  <c r="M10" i="19"/>
  <c r="U10" i="19" s="1"/>
  <c r="L10" i="19"/>
  <c r="T10" i="19" s="1"/>
  <c r="K10" i="19"/>
  <c r="S10" i="19" s="1"/>
  <c r="J10" i="19"/>
  <c r="R10" i="19" s="1"/>
  <c r="I10" i="19"/>
  <c r="Q10" i="19" s="1"/>
  <c r="A47" i="20" s="1"/>
  <c r="V9" i="19"/>
  <c r="K9" i="19"/>
  <c r="S9" i="19" s="1"/>
  <c r="A42" i="20" s="1"/>
  <c r="J9" i="19"/>
  <c r="R9" i="19" s="1"/>
  <c r="I9" i="19"/>
  <c r="Q9" i="19" s="1"/>
  <c r="A41" i="20" s="1"/>
  <c r="G9" i="19"/>
  <c r="M9" i="19" s="1"/>
  <c r="U9" i="19" s="1"/>
  <c r="K8" i="19"/>
  <c r="S8" i="19" s="1"/>
  <c r="A45" i="20" s="1"/>
  <c r="J8" i="19"/>
  <c r="R8" i="19" s="1"/>
  <c r="I8" i="19"/>
  <c r="Q8" i="19" s="1"/>
  <c r="A44" i="20" s="1"/>
  <c r="H8" i="19"/>
  <c r="V8" i="19" s="1"/>
  <c r="G8" i="19"/>
  <c r="M8" i="19" s="1"/>
  <c r="U8" i="19" s="1"/>
  <c r="K7" i="19"/>
  <c r="S7" i="19" s="1"/>
  <c r="A52" i="20" s="1"/>
  <c r="J7" i="19"/>
  <c r="R7" i="19" s="1"/>
  <c r="I7" i="19"/>
  <c r="Q7" i="19" s="1"/>
  <c r="A51" i="20" s="1"/>
  <c r="H7" i="19"/>
  <c r="V7" i="19" s="1"/>
  <c r="G7" i="19"/>
  <c r="M7" i="19" s="1"/>
  <c r="U7" i="19" s="1"/>
  <c r="K6" i="19"/>
  <c r="S6" i="19" s="1"/>
  <c r="J6" i="19"/>
  <c r="R6" i="19" s="1"/>
  <c r="A64" i="20" s="1"/>
  <c r="I6" i="19"/>
  <c r="Q6" i="19" s="1"/>
  <c r="A59" i="20" s="1"/>
  <c r="H6" i="19"/>
  <c r="V6" i="19" s="1"/>
  <c r="G6" i="19"/>
  <c r="M6" i="19" s="1"/>
  <c r="U6" i="19" s="1"/>
  <c r="A74" i="20" s="1"/>
  <c r="K5" i="19"/>
  <c r="S5" i="19" s="1"/>
  <c r="J5" i="19"/>
  <c r="R5" i="19" s="1"/>
  <c r="A63" i="20" s="1"/>
  <c r="I5" i="19"/>
  <c r="Q5" i="19" s="1"/>
  <c r="A58" i="20" s="1"/>
  <c r="H5" i="19"/>
  <c r="V5" i="19" s="1"/>
  <c r="G5" i="19"/>
  <c r="L5" i="19" s="1"/>
  <c r="T5" i="19" s="1"/>
  <c r="A68" i="20" s="1"/>
  <c r="K4" i="19"/>
  <c r="S4" i="19" s="1"/>
  <c r="J4" i="19"/>
  <c r="R4" i="19" s="1"/>
  <c r="A62" i="20" s="1"/>
  <c r="I4" i="19"/>
  <c r="Q4" i="19" s="1"/>
  <c r="A57" i="20" s="1"/>
  <c r="H4" i="19"/>
  <c r="V4" i="19" s="1"/>
  <c r="G4" i="19"/>
  <c r="M4" i="19" s="1"/>
  <c r="U4" i="19" s="1"/>
  <c r="A72" i="20" s="1"/>
  <c r="M3" i="19"/>
  <c r="U3" i="19" s="1"/>
  <c r="A71" i="20" s="1"/>
  <c r="L3" i="19"/>
  <c r="T3" i="19" s="1"/>
  <c r="A66" i="20" s="1"/>
  <c r="K3" i="19"/>
  <c r="S3" i="19" s="1"/>
  <c r="J3" i="19"/>
  <c r="R3" i="19" s="1"/>
  <c r="A61" i="20" s="1"/>
  <c r="I3" i="19"/>
  <c r="Q3" i="19" s="1"/>
  <c r="A56" i="20" s="1"/>
  <c r="H3" i="19"/>
  <c r="V3" i="19" s="1"/>
  <c r="K2" i="19"/>
  <c r="S2" i="19" s="1"/>
  <c r="J2" i="19"/>
  <c r="R2" i="19" s="1"/>
  <c r="A77" i="20" s="1"/>
  <c r="I2" i="19"/>
  <c r="Q2" i="19" s="1"/>
  <c r="A76" i="20" s="1"/>
  <c r="H2" i="19"/>
  <c r="V2" i="19" s="1"/>
  <c r="G2" i="19"/>
  <c r="L2" i="19" s="1"/>
  <c r="T2" i="19" s="1"/>
  <c r="A78" i="20" s="1"/>
  <c r="M5" i="19" l="1"/>
  <c r="U5" i="19" s="1"/>
  <c r="A73" i="20" s="1"/>
  <c r="L8" i="19"/>
  <c r="T8" i="19" s="1"/>
  <c r="M14" i="19"/>
  <c r="U14" i="19" s="1"/>
  <c r="L19" i="19"/>
  <c r="T19" i="19" s="1"/>
  <c r="L4" i="19"/>
  <c r="T4" i="19" s="1"/>
  <c r="A67" i="20" s="1"/>
  <c r="M18" i="19"/>
  <c r="U18" i="19" s="1"/>
  <c r="M2" i="19"/>
  <c r="U2" i="19" s="1"/>
  <c r="A79" i="20" s="1"/>
  <c r="L17" i="19"/>
  <c r="T17" i="19" s="1"/>
  <c r="L21" i="19"/>
  <c r="T21" i="19" s="1"/>
  <c r="L7" i="19"/>
  <c r="T7" i="19" s="1"/>
  <c r="L16" i="19"/>
  <c r="T16" i="19" s="1"/>
  <c r="L20" i="19"/>
  <c r="T20" i="19" s="1"/>
  <c r="L6" i="19"/>
  <c r="T6" i="19" s="1"/>
  <c r="A69" i="20" s="1"/>
  <c r="L15" i="19"/>
  <c r="T15" i="19" s="1"/>
  <c r="L9" i="19"/>
  <c r="T9" i="19" s="1"/>
  <c r="K21" i="17"/>
  <c r="S21" i="17" s="1"/>
  <c r="A54" i="18" s="1"/>
  <c r="J21" i="17"/>
  <c r="R21" i="17" s="1"/>
  <c r="I21" i="17"/>
  <c r="Q21" i="17" s="1"/>
  <c r="A53" i="18" s="1"/>
  <c r="H21" i="17"/>
  <c r="V21" i="17" s="1"/>
  <c r="G21" i="17"/>
  <c r="M21" i="17" s="1"/>
  <c r="U21" i="17" s="1"/>
  <c r="K20" i="17"/>
  <c r="S20" i="17" s="1"/>
  <c r="A12" i="18" s="1"/>
  <c r="J20" i="17"/>
  <c r="R20" i="17" s="1"/>
  <c r="I20" i="17"/>
  <c r="Q20" i="17" s="1"/>
  <c r="A9" i="18" s="1"/>
  <c r="H20" i="17"/>
  <c r="V20" i="17" s="1"/>
  <c r="G20" i="17"/>
  <c r="M20" i="17" s="1"/>
  <c r="U20" i="17" s="1"/>
  <c r="K19" i="17"/>
  <c r="S19" i="17" s="1"/>
  <c r="A13" i="18" s="1"/>
  <c r="J19" i="17"/>
  <c r="R19" i="17" s="1"/>
  <c r="I19" i="17"/>
  <c r="Q19" i="17" s="1"/>
  <c r="A10" i="18" s="1"/>
  <c r="H19" i="17"/>
  <c r="V19" i="17" s="1"/>
  <c r="G19" i="17"/>
  <c r="M19" i="17" s="1"/>
  <c r="U19" i="17" s="1"/>
  <c r="K18" i="17"/>
  <c r="S18" i="17" s="1"/>
  <c r="A14" i="18" s="1"/>
  <c r="J18" i="17"/>
  <c r="R18" i="17" s="1"/>
  <c r="I18" i="17"/>
  <c r="Q18" i="17" s="1"/>
  <c r="A11" i="18" s="1"/>
  <c r="H18" i="17"/>
  <c r="V18" i="17" s="1"/>
  <c r="G18" i="17"/>
  <c r="M18" i="17" s="1"/>
  <c r="U18" i="17" s="1"/>
  <c r="K17" i="17"/>
  <c r="S17" i="17" s="1"/>
  <c r="A19" i="18" s="1"/>
  <c r="J17" i="17"/>
  <c r="R17" i="17" s="1"/>
  <c r="I17" i="17"/>
  <c r="Q17" i="17" s="1"/>
  <c r="A16" i="18" s="1"/>
  <c r="H17" i="17"/>
  <c r="V17" i="17" s="1"/>
  <c r="G17" i="17"/>
  <c r="M17" i="17" s="1"/>
  <c r="U17" i="17" s="1"/>
  <c r="K16" i="17"/>
  <c r="S16" i="17" s="1"/>
  <c r="A20" i="18" s="1"/>
  <c r="J16" i="17"/>
  <c r="R16" i="17" s="1"/>
  <c r="I16" i="17"/>
  <c r="Q16" i="17" s="1"/>
  <c r="A17" i="18" s="1"/>
  <c r="H16" i="17"/>
  <c r="V16" i="17" s="1"/>
  <c r="G16" i="17"/>
  <c r="M16" i="17" s="1"/>
  <c r="U16" i="17" s="1"/>
  <c r="K15" i="17"/>
  <c r="S15" i="17" s="1"/>
  <c r="A21" i="18" s="1"/>
  <c r="J15" i="17"/>
  <c r="R15" i="17" s="1"/>
  <c r="I15" i="17"/>
  <c r="Q15" i="17" s="1"/>
  <c r="A18" i="18" s="1"/>
  <c r="H15" i="17"/>
  <c r="V15" i="17" s="1"/>
  <c r="G15" i="17"/>
  <c r="M15" i="17" s="1"/>
  <c r="U15" i="17" s="1"/>
  <c r="K14" i="17"/>
  <c r="S14" i="17" s="1"/>
  <c r="A24" i="18" s="1"/>
  <c r="J14" i="17"/>
  <c r="R14" i="17" s="1"/>
  <c r="I14" i="17"/>
  <c r="Q14" i="17" s="1"/>
  <c r="A23" i="18" s="1"/>
  <c r="H14" i="17"/>
  <c r="V14" i="17" s="1"/>
  <c r="G14" i="17"/>
  <c r="M14" i="17" s="1"/>
  <c r="U14" i="17" s="1"/>
  <c r="M13" i="17"/>
  <c r="U13" i="17" s="1"/>
  <c r="A37" i="18" s="1"/>
  <c r="L13" i="17"/>
  <c r="T13" i="17" s="1"/>
  <c r="A33" i="18" s="1"/>
  <c r="K13" i="17"/>
  <c r="S13" i="17" s="1"/>
  <c r="J13" i="17"/>
  <c r="R13" i="17" s="1"/>
  <c r="A29" i="18" s="1"/>
  <c r="I13" i="17"/>
  <c r="Q13" i="17" s="1"/>
  <c r="A26" i="18" s="1"/>
  <c r="H13" i="17"/>
  <c r="V13" i="17" s="1"/>
  <c r="M12" i="17"/>
  <c r="U12" i="17" s="1"/>
  <c r="A38" i="18" s="1"/>
  <c r="L12" i="17"/>
  <c r="T12" i="17" s="1"/>
  <c r="A34" i="18" s="1"/>
  <c r="K12" i="17"/>
  <c r="S12" i="17" s="1"/>
  <c r="J12" i="17"/>
  <c r="R12" i="17" s="1"/>
  <c r="A30" i="18" s="1"/>
  <c r="I12" i="17"/>
  <c r="Q12" i="17" s="1"/>
  <c r="A27" i="18" s="1"/>
  <c r="H12" i="17"/>
  <c r="V12" i="17" s="1"/>
  <c r="M11" i="17"/>
  <c r="U11" i="17" s="1"/>
  <c r="A39" i="18" s="1"/>
  <c r="L11" i="17"/>
  <c r="T11" i="17" s="1"/>
  <c r="A35" i="18" s="1"/>
  <c r="K11" i="17"/>
  <c r="S11" i="17" s="1"/>
  <c r="J11" i="17"/>
  <c r="R11" i="17" s="1"/>
  <c r="A31" i="18" s="1"/>
  <c r="I11" i="17"/>
  <c r="Q11" i="17" s="1"/>
  <c r="A28" i="18" s="1"/>
  <c r="H11" i="17"/>
  <c r="V11" i="17" s="1"/>
  <c r="V10" i="17"/>
  <c r="A49" i="18" s="1"/>
  <c r="M10" i="17"/>
  <c r="U10" i="17" s="1"/>
  <c r="L10" i="17"/>
  <c r="T10" i="17" s="1"/>
  <c r="K10" i="17"/>
  <c r="S10" i="17" s="1"/>
  <c r="J10" i="17"/>
  <c r="R10" i="17" s="1"/>
  <c r="I10" i="17"/>
  <c r="Q10" i="17" s="1"/>
  <c r="A47" i="18" s="1"/>
  <c r="V9" i="17"/>
  <c r="K9" i="17"/>
  <c r="S9" i="17" s="1"/>
  <c r="A42" i="18" s="1"/>
  <c r="J9" i="17"/>
  <c r="R9" i="17" s="1"/>
  <c r="I9" i="17"/>
  <c r="Q9" i="17" s="1"/>
  <c r="A41" i="18" s="1"/>
  <c r="G9" i="17"/>
  <c r="M9" i="17" s="1"/>
  <c r="U9" i="17" s="1"/>
  <c r="K8" i="17"/>
  <c r="S8" i="17" s="1"/>
  <c r="A45" i="18" s="1"/>
  <c r="J8" i="17"/>
  <c r="R8" i="17" s="1"/>
  <c r="I8" i="17"/>
  <c r="Q8" i="17" s="1"/>
  <c r="A44" i="18" s="1"/>
  <c r="H8" i="17"/>
  <c r="V8" i="17" s="1"/>
  <c r="G8" i="17"/>
  <c r="M8" i="17" s="1"/>
  <c r="U8" i="17" s="1"/>
  <c r="K7" i="17"/>
  <c r="S7" i="17" s="1"/>
  <c r="A52" i="18" s="1"/>
  <c r="J7" i="17"/>
  <c r="R7" i="17" s="1"/>
  <c r="I7" i="17"/>
  <c r="Q7" i="17" s="1"/>
  <c r="A51" i="18" s="1"/>
  <c r="H7" i="17"/>
  <c r="V7" i="17" s="1"/>
  <c r="G7" i="17"/>
  <c r="M7" i="17" s="1"/>
  <c r="U7" i="17" s="1"/>
  <c r="K6" i="17"/>
  <c r="S6" i="17" s="1"/>
  <c r="J6" i="17"/>
  <c r="R6" i="17" s="1"/>
  <c r="A64" i="18" s="1"/>
  <c r="I6" i="17"/>
  <c r="Q6" i="17" s="1"/>
  <c r="A59" i="18" s="1"/>
  <c r="H6" i="17"/>
  <c r="V6" i="17" s="1"/>
  <c r="G6" i="17"/>
  <c r="M6" i="17" s="1"/>
  <c r="U6" i="17" s="1"/>
  <c r="A74" i="18" s="1"/>
  <c r="K5" i="17"/>
  <c r="S5" i="17" s="1"/>
  <c r="J5" i="17"/>
  <c r="R5" i="17" s="1"/>
  <c r="A63" i="18" s="1"/>
  <c r="I5" i="17"/>
  <c r="Q5" i="17" s="1"/>
  <c r="A58" i="18" s="1"/>
  <c r="H5" i="17"/>
  <c r="V5" i="17" s="1"/>
  <c r="G5" i="17"/>
  <c r="M5" i="17" s="1"/>
  <c r="U5" i="17" s="1"/>
  <c r="A73" i="18" s="1"/>
  <c r="K4" i="17"/>
  <c r="S4" i="17" s="1"/>
  <c r="J4" i="17"/>
  <c r="R4" i="17" s="1"/>
  <c r="A62" i="18" s="1"/>
  <c r="I4" i="17"/>
  <c r="Q4" i="17" s="1"/>
  <c r="A57" i="18" s="1"/>
  <c r="H4" i="17"/>
  <c r="V4" i="17" s="1"/>
  <c r="G4" i="17"/>
  <c r="M4" i="17" s="1"/>
  <c r="U4" i="17" s="1"/>
  <c r="A72" i="18" s="1"/>
  <c r="M3" i="17"/>
  <c r="U3" i="17" s="1"/>
  <c r="A71" i="18" s="1"/>
  <c r="L3" i="17"/>
  <c r="T3" i="17" s="1"/>
  <c r="A66" i="18" s="1"/>
  <c r="K3" i="17"/>
  <c r="S3" i="17" s="1"/>
  <c r="J3" i="17"/>
  <c r="R3" i="17" s="1"/>
  <c r="A61" i="18" s="1"/>
  <c r="I3" i="17"/>
  <c r="Q3" i="17" s="1"/>
  <c r="A56" i="18" s="1"/>
  <c r="H3" i="17"/>
  <c r="V3" i="17" s="1"/>
  <c r="K2" i="17"/>
  <c r="S2" i="17" s="1"/>
  <c r="J2" i="17"/>
  <c r="R2" i="17" s="1"/>
  <c r="A77" i="18" s="1"/>
  <c r="I2" i="17"/>
  <c r="Q2" i="17" s="1"/>
  <c r="A76" i="18" s="1"/>
  <c r="H2" i="17"/>
  <c r="V2" i="17" s="1"/>
  <c r="G2" i="17"/>
  <c r="M2" i="17" s="1"/>
  <c r="U2" i="17" s="1"/>
  <c r="A79" i="18" s="1"/>
  <c r="L2" i="17" l="1"/>
  <c r="T2" i="17" s="1"/>
  <c r="A78" i="18" s="1"/>
  <c r="L6" i="17"/>
  <c r="T6" i="17" s="1"/>
  <c r="A69" i="18" s="1"/>
  <c r="L8" i="17"/>
  <c r="T8" i="17" s="1"/>
  <c r="L15" i="17"/>
  <c r="T15" i="17" s="1"/>
  <c r="L17" i="17"/>
  <c r="T17" i="17" s="1"/>
  <c r="L19" i="17"/>
  <c r="T19" i="17" s="1"/>
  <c r="L4" i="17"/>
  <c r="T4" i="17" s="1"/>
  <c r="A67" i="18" s="1"/>
  <c r="L21" i="17"/>
  <c r="T21" i="17" s="1"/>
  <c r="L7" i="17"/>
  <c r="T7" i="17" s="1"/>
  <c r="L16" i="17"/>
  <c r="T16" i="17" s="1"/>
  <c r="L20" i="17"/>
  <c r="T20" i="17" s="1"/>
  <c r="L9" i="17"/>
  <c r="T9" i="17" s="1"/>
  <c r="L5" i="17"/>
  <c r="T5" i="17" s="1"/>
  <c r="A68" i="18" s="1"/>
  <c r="L14" i="17"/>
  <c r="T14" i="17" s="1"/>
  <c r="L18" i="17"/>
  <c r="T18" i="17" s="1"/>
  <c r="L13" i="11" l="1"/>
  <c r="K13" i="11"/>
  <c r="J13" i="11"/>
  <c r="L12" i="11"/>
  <c r="K12" i="11"/>
  <c r="J12" i="11"/>
  <c r="L11" i="11"/>
  <c r="K11" i="11"/>
  <c r="J11" i="11"/>
  <c r="L3" i="11"/>
  <c r="K3" i="11"/>
  <c r="J3" i="11"/>
  <c r="L2" i="11"/>
  <c r="K2" i="11"/>
  <c r="J2" i="11"/>
  <c r="H21" i="11" l="1"/>
  <c r="W21" i="11" s="1"/>
  <c r="G21" i="11"/>
  <c r="N21" i="11" s="1"/>
  <c r="V21" i="11" s="1"/>
  <c r="F21" i="11"/>
  <c r="E21" i="11"/>
  <c r="T21" i="11" s="1"/>
  <c r="A54" i="12" s="1"/>
  <c r="D21" i="11"/>
  <c r="R20" i="11"/>
  <c r="A9" i="12" s="1"/>
  <c r="H20" i="11"/>
  <c r="W20" i="11" s="1"/>
  <c r="G20" i="11"/>
  <c r="M20" i="11" s="1"/>
  <c r="U20" i="11" s="1"/>
  <c r="T20" i="11"/>
  <c r="A12" i="12" s="1"/>
  <c r="S19" i="11"/>
  <c r="H19" i="11"/>
  <c r="W19" i="11" s="1"/>
  <c r="G19" i="11"/>
  <c r="N19" i="11" s="1"/>
  <c r="V19" i="11" s="1"/>
  <c r="T19" i="11"/>
  <c r="A13" i="12" s="1"/>
  <c r="T18" i="11"/>
  <c r="A14" i="12" s="1"/>
  <c r="H18" i="11"/>
  <c r="W18" i="11" s="1"/>
  <c r="G18" i="11"/>
  <c r="N18" i="11" s="1"/>
  <c r="V18" i="11" s="1"/>
  <c r="S18" i="11"/>
  <c r="H17" i="11"/>
  <c r="W17" i="11" s="1"/>
  <c r="G17" i="11"/>
  <c r="N17" i="11" s="1"/>
  <c r="V17" i="11" s="1"/>
  <c r="T17" i="11"/>
  <c r="A19" i="12" s="1"/>
  <c r="H16" i="11"/>
  <c r="W16" i="11" s="1"/>
  <c r="G16" i="11"/>
  <c r="M16" i="11" s="1"/>
  <c r="U16" i="11" s="1"/>
  <c r="S16" i="11"/>
  <c r="T16" i="11"/>
  <c r="A20" i="12" s="1"/>
  <c r="T15" i="11"/>
  <c r="A21" i="12" s="1"/>
  <c r="H15" i="11"/>
  <c r="W15" i="11" s="1"/>
  <c r="G15" i="11"/>
  <c r="N15" i="11" s="1"/>
  <c r="V15" i="11" s="1"/>
  <c r="R15" i="11"/>
  <c r="A18" i="12" s="1"/>
  <c r="H14" i="11"/>
  <c r="W14" i="11" s="1"/>
  <c r="G14" i="11"/>
  <c r="N14" i="11" s="1"/>
  <c r="V14" i="11" s="1"/>
  <c r="S14" i="11"/>
  <c r="N13" i="11"/>
  <c r="V13" i="11" s="1"/>
  <c r="A37" i="12" s="1"/>
  <c r="H13" i="11"/>
  <c r="W13" i="11" s="1"/>
  <c r="M13" i="11"/>
  <c r="U13" i="11" s="1"/>
  <c r="A33" i="12" s="1"/>
  <c r="T13" i="11"/>
  <c r="R12" i="11"/>
  <c r="A27" i="12" s="1"/>
  <c r="H12" i="11"/>
  <c r="W12" i="11" s="1"/>
  <c r="M12" i="11"/>
  <c r="U12" i="11" s="1"/>
  <c r="A34" i="12" s="1"/>
  <c r="T12" i="11"/>
  <c r="S11" i="11"/>
  <c r="A31" i="12" s="1"/>
  <c r="R11" i="11"/>
  <c r="A28" i="12" s="1"/>
  <c r="H11" i="11"/>
  <c r="W11" i="11" s="1"/>
  <c r="N11" i="11"/>
  <c r="V11" i="11" s="1"/>
  <c r="A39" i="12" s="1"/>
  <c r="T11" i="11"/>
  <c r="W10" i="11"/>
  <c r="A49" i="12" s="1"/>
  <c r="T10" i="11"/>
  <c r="S10" i="11"/>
  <c r="R10" i="11"/>
  <c r="A47" i="12" s="1"/>
  <c r="N10" i="11"/>
  <c r="V10" i="11" s="1"/>
  <c r="R9" i="11"/>
  <c r="A41" i="12" s="1"/>
  <c r="W9" i="11"/>
  <c r="G9" i="11"/>
  <c r="N9" i="11" s="1"/>
  <c r="V9" i="11" s="1"/>
  <c r="T9" i="11"/>
  <c r="A42" i="12" s="1"/>
  <c r="S8" i="11"/>
  <c r="H8" i="11"/>
  <c r="W8" i="11" s="1"/>
  <c r="G8" i="11"/>
  <c r="N8" i="11" s="1"/>
  <c r="V8" i="11" s="1"/>
  <c r="F8" i="11"/>
  <c r="E8" i="11"/>
  <c r="T8" i="11" s="1"/>
  <c r="A45" i="12" s="1"/>
  <c r="D8" i="11"/>
  <c r="T7" i="11"/>
  <c r="A52" i="12" s="1"/>
  <c r="H7" i="11"/>
  <c r="W7" i="11" s="1"/>
  <c r="G7" i="11"/>
  <c r="N7" i="11" s="1"/>
  <c r="V7" i="11" s="1"/>
  <c r="F7" i="11"/>
  <c r="E7" i="11"/>
  <c r="R7" i="11" s="1"/>
  <c r="A51" i="12" s="1"/>
  <c r="D7" i="11"/>
  <c r="H6" i="11"/>
  <c r="W6" i="11" s="1"/>
  <c r="G6" i="11"/>
  <c r="N6" i="11" s="1"/>
  <c r="V6" i="11" s="1"/>
  <c r="A74" i="12" s="1"/>
  <c r="F6" i="11"/>
  <c r="E6" i="11"/>
  <c r="D6" i="11"/>
  <c r="H5" i="11"/>
  <c r="W5" i="11" s="1"/>
  <c r="G5" i="11"/>
  <c r="M5" i="11" s="1"/>
  <c r="U5" i="11" s="1"/>
  <c r="A68" i="12" s="1"/>
  <c r="F5" i="11"/>
  <c r="E5" i="11"/>
  <c r="D5" i="11"/>
  <c r="H4" i="11"/>
  <c r="W4" i="11" s="1"/>
  <c r="G4" i="11"/>
  <c r="M4" i="11" s="1"/>
  <c r="U4" i="11" s="1"/>
  <c r="A67" i="12" s="1"/>
  <c r="F4" i="11"/>
  <c r="E4" i="11"/>
  <c r="D4" i="11"/>
  <c r="H3" i="11"/>
  <c r="W3" i="11" s="1"/>
  <c r="N3" i="11"/>
  <c r="V3" i="11" s="1"/>
  <c r="A71" i="12" s="1"/>
  <c r="S3" i="11"/>
  <c r="A61" i="12" s="1"/>
  <c r="T3" i="11"/>
  <c r="T2" i="11"/>
  <c r="S2" i="11"/>
  <c r="A77" i="12" s="1"/>
  <c r="R2" i="11"/>
  <c r="A76" i="12" s="1"/>
  <c r="H2" i="11"/>
  <c r="W2" i="11" s="1"/>
  <c r="G2" i="11"/>
  <c r="N2" i="11" s="1"/>
  <c r="V2" i="11" s="1"/>
  <c r="A79" i="12" s="1"/>
  <c r="M8" i="11" l="1"/>
  <c r="U8" i="11" s="1"/>
  <c r="M6" i="11"/>
  <c r="U6" i="11" s="1"/>
  <c r="A69" i="12" s="1"/>
  <c r="N16" i="11"/>
  <c r="V16" i="11" s="1"/>
  <c r="N5" i="11"/>
  <c r="V5" i="11" s="1"/>
  <c r="A73" i="12" s="1"/>
  <c r="M17" i="11"/>
  <c r="U17" i="11" s="1"/>
  <c r="M9" i="11"/>
  <c r="U9" i="11" s="1"/>
  <c r="K6" i="11"/>
  <c r="S6" i="11" s="1"/>
  <c r="A64" i="12" s="1"/>
  <c r="J6" i="11"/>
  <c r="R6" i="11" s="1"/>
  <c r="A59" i="12" s="1"/>
  <c r="L6" i="11"/>
  <c r="T6" i="11" s="1"/>
  <c r="L5" i="11"/>
  <c r="T5" i="11" s="1"/>
  <c r="K5" i="11"/>
  <c r="S5" i="11" s="1"/>
  <c r="A63" i="12" s="1"/>
  <c r="J5" i="11"/>
  <c r="R5" i="11" s="1"/>
  <c r="A58" i="12" s="1"/>
  <c r="J4" i="11"/>
  <c r="R4" i="11" s="1"/>
  <c r="A57" i="12" s="1"/>
  <c r="L4" i="11"/>
  <c r="T4" i="11" s="1"/>
  <c r="K4" i="11"/>
  <c r="S4" i="11" s="1"/>
  <c r="A62" i="12" s="1"/>
  <c r="M14" i="11"/>
  <c r="U14" i="11" s="1"/>
  <c r="S7" i="11"/>
  <c r="R8" i="11"/>
  <c r="A44" i="12" s="1"/>
  <c r="N12" i="11"/>
  <c r="V12" i="11" s="1"/>
  <c r="A38" i="12" s="1"/>
  <c r="T14" i="11"/>
  <c r="A24" i="12" s="1"/>
  <c r="S15" i="11"/>
  <c r="R16" i="11"/>
  <c r="A17" i="12" s="1"/>
  <c r="N20" i="11"/>
  <c r="V20" i="11" s="1"/>
  <c r="M21" i="11"/>
  <c r="U21" i="11" s="1"/>
  <c r="R17" i="11"/>
  <c r="A16" i="12" s="1"/>
  <c r="M7" i="11"/>
  <c r="U7" i="11" s="1"/>
  <c r="S9" i="11"/>
  <c r="M15" i="11"/>
  <c r="U15" i="11" s="1"/>
  <c r="S17" i="11"/>
  <c r="R18" i="11"/>
  <c r="A11" i="12" s="1"/>
  <c r="R3" i="11"/>
  <c r="A56" i="12" s="1"/>
  <c r="R19" i="11"/>
  <c r="A10" i="12" s="1"/>
  <c r="N4" i="11"/>
  <c r="V4" i="11" s="1"/>
  <c r="A72" i="12" s="1"/>
  <c r="M2" i="11"/>
  <c r="U2" i="11" s="1"/>
  <c r="A78" i="12" s="1"/>
  <c r="M10" i="11"/>
  <c r="U10" i="11" s="1"/>
  <c r="S12" i="11"/>
  <c r="A30" i="12" s="1"/>
  <c r="R13" i="11"/>
  <c r="A26" i="12" s="1"/>
  <c r="M18" i="11"/>
  <c r="U18" i="11" s="1"/>
  <c r="S20" i="11"/>
  <c r="R21" i="11"/>
  <c r="A53" i="12" s="1"/>
  <c r="M3" i="11"/>
  <c r="U3" i="11" s="1"/>
  <c r="A66" i="12" s="1"/>
  <c r="M11" i="11"/>
  <c r="U11" i="11" s="1"/>
  <c r="A35" i="12" s="1"/>
  <c r="S13" i="11"/>
  <c r="A29" i="12" s="1"/>
  <c r="R14" i="11"/>
  <c r="A23" i="12" s="1"/>
  <c r="M19" i="11"/>
  <c r="U19" i="11" s="1"/>
  <c r="S21" i="11"/>
</calcChain>
</file>

<file path=xl/sharedStrings.xml><?xml version="1.0" encoding="utf-8"?>
<sst xmlns="http://schemas.openxmlformats.org/spreadsheetml/2006/main" count="980" uniqueCount="241">
  <si>
    <t>CNC Shield</t>
  </si>
  <si>
    <t>Feed Hold*</t>
  </si>
  <si>
    <t>Cycle Start/Resume*</t>
  </si>
  <si>
    <t>Coolant Enable</t>
  </si>
  <si>
    <t>Spindle Direction</t>
  </si>
  <si>
    <t>Spindle Enable</t>
  </si>
  <si>
    <t>Stepper Enable/Disable</t>
  </si>
  <si>
    <t>Direction Z-Axis</t>
  </si>
  <si>
    <t>Direction Y-Axis</t>
  </si>
  <si>
    <t>Direction X-Axis</t>
  </si>
  <si>
    <t>Stepper Pulse Z-Axis</t>
  </si>
  <si>
    <t>Stepper Pulse Y-Axis</t>
  </si>
  <si>
    <t>Stepper Pulse X-Axis</t>
  </si>
  <si>
    <t>CNPU</t>
  </si>
  <si>
    <t>TRIS</t>
  </si>
  <si>
    <t>PORT</t>
  </si>
  <si>
    <t>LAT</t>
  </si>
  <si>
    <t>PIC32 PORT</t>
  </si>
  <si>
    <t>PIC32 PIN</t>
  </si>
  <si>
    <t>STEP_X_DDR</t>
  </si>
  <si>
    <t>STEP_Y_DDR</t>
  </si>
  <si>
    <t>STEP_Z_DDR</t>
  </si>
  <si>
    <t>STEP_X_PORT</t>
  </si>
  <si>
    <t>STEP_Y_PORT</t>
  </si>
  <si>
    <t>DIRECTION_X_DDR</t>
  </si>
  <si>
    <t>DIRECTION_Y_DDR</t>
  </si>
  <si>
    <t>DIRECTION_Z_DDR</t>
  </si>
  <si>
    <t>DIRECTION_X_PORT</t>
  </si>
  <si>
    <t>DIRECTION_Y_PORT</t>
  </si>
  <si>
    <t>DIRECTION_Z_PORT</t>
  </si>
  <si>
    <t>define</t>
  </si>
  <si>
    <t>STEPPERS_DISABLE_DDR</t>
  </si>
  <si>
    <t>STEPPERS_DISABLE_PORT</t>
  </si>
  <si>
    <t>LIMIT_X_DDR</t>
  </si>
  <si>
    <t>LIMIT_Y_DDR</t>
  </si>
  <si>
    <t>LIMIT_Z_DDR</t>
  </si>
  <si>
    <t>LIMIT_X_PIN</t>
  </si>
  <si>
    <t>LIMIT_Y_PIN</t>
  </si>
  <si>
    <t>LIMIT_Z_PIN</t>
  </si>
  <si>
    <t>SPINDLE_ENABLE_DDR</t>
  </si>
  <si>
    <t>SPINDLE_ENABLE_PORT</t>
  </si>
  <si>
    <t>SPINDLE_DIRECTION_DDR</t>
  </si>
  <si>
    <t>SPINDLE_DIRECTION_PORT</t>
  </si>
  <si>
    <t>COOLANT_FLOOD_DDR</t>
  </si>
  <si>
    <t>COOLANT_FLOOD_PORT</t>
  </si>
  <si>
    <t>CONTROL_FEED_HOLD_DDR</t>
  </si>
  <si>
    <t>CONTROL_CYCLE_START_DDR</t>
  </si>
  <si>
    <t>CONTROL_SAFETY_DOOR_DDR</t>
  </si>
  <si>
    <t>CONTROL_FEED_HOLD_PIN</t>
  </si>
  <si>
    <t>CONTROL_CYCLE_START_PIN</t>
  </si>
  <si>
    <t>CONTROL_SAFETY_DOOR_PIN</t>
  </si>
  <si>
    <t>CNEN</t>
  </si>
  <si>
    <t>Probe</t>
  </si>
  <si>
    <t>PROBE_TRIS</t>
  </si>
  <si>
    <t>PROBE_PIN</t>
  </si>
  <si>
    <t>STEP_Z_PORT</t>
  </si>
  <si>
    <t>Safety Door</t>
  </si>
  <si>
    <t>E</t>
  </si>
  <si>
    <t>Arduino</t>
  </si>
  <si>
    <t>LPT</t>
  </si>
  <si>
    <t>Limit Z-Axis*</t>
  </si>
  <si>
    <t>Limit Y-Axis*</t>
  </si>
  <si>
    <t>Limit X-Axis*</t>
  </si>
  <si>
    <t>B</t>
  </si>
  <si>
    <t>D</t>
  </si>
  <si>
    <t>G</t>
  </si>
  <si>
    <t>CNPUE</t>
  </si>
  <si>
    <t>Spindle PWM</t>
  </si>
  <si>
    <t>SPINDLE_PWM_DDR</t>
  </si>
  <si>
    <t>SPINDLE_PWM_PORT</t>
  </si>
  <si>
    <t>Type</t>
  </si>
  <si>
    <t>OC</t>
  </si>
  <si>
    <t>GRBL LPT</t>
  </si>
  <si>
    <t>Coolant Mist</t>
  </si>
  <si>
    <t>COOLANT_MIST_DDR</t>
  </si>
  <si>
    <t>COOLANT_MIST_PORT</t>
  </si>
  <si>
    <t>Abort</t>
  </si>
  <si>
    <t>CONTROL_ABORT_DDR</t>
  </si>
  <si>
    <t>CONTROL_ABORT_PIN</t>
  </si>
  <si>
    <t>#define CPU_MAP_PIC32_MX</t>
  </si>
  <si>
    <t>DEFAULTS_PIC32_MX_PINGUINO_MICRO_TESTER</t>
  </si>
  <si>
    <t>// Define the homing cycle patterns with bitmasks. The homing cycle first performs a search mode</t>
  </si>
  <si>
    <t>// to quickly engage the limit switches, followed by a slower locate mode, and finished by a short</t>
  </si>
  <si>
    <t>// pull-off motion to disengage the limit switches. The following HOMING_CYCLE_x defines are executed</t>
  </si>
  <si>
    <t>// in order starting with suffix 0 and completes the homing routine for the specified-axes only. If</t>
  </si>
  <si>
    <t>// an axis is omitted from the defines, it will not home, nor will the system update its position.</t>
  </si>
  <si>
    <t>// Meaning that this allows for users with non-standard cartesian machines, such as a lathe (x then z,</t>
  </si>
  <si>
    <t>// with no y), to configure the homing cycle behavior to their needs.</t>
  </si>
  <si>
    <t>// NOTE: The homing cycle is designed to allow sharing of limit pins, if the axes are not in the same</t>
  </si>
  <si>
    <t>// cycle, but this requires some pin settings changes in cpu_map.h file. For example, the default homing</t>
  </si>
  <si>
    <t>// cycle can share the Z limit pin with either X or Y limit pins, since they are on different cycles.</t>
  </si>
  <si>
    <t>// By sharing a pin, this frees up a precious IO pin for other purposes. In theory, all axes limit pins</t>
  </si>
  <si>
    <t>// may be reduced to one pin, if all axes are homed with seperate cycles, or vice versa, all three axes</t>
  </si>
  <si>
    <t>// on separate pin, but homed in one cycle. Also, it should be noted that the function of hard limits</t>
  </si>
  <si>
    <t>// will not be affected by pin sharing.</t>
  </si>
  <si>
    <t>// NOTE: Defaults are set for a traditional 3-axis CNC machine. Z-axis first to clear, followed by X &amp; Y.</t>
  </si>
  <si>
    <t>#define HOMING_CYCLE_0 (1&lt;&lt;Z_AXIS)                // REQUIRED: First move Z to clear workspace.</t>
  </si>
  <si>
    <t>#define HOMING_CYCLE_1 (1&lt;&lt;Y_AXIS)</t>
  </si>
  <si>
    <t>#define HOMING_CYCLE_2 (1&lt;&lt;X_AXIS)</t>
  </si>
  <si>
    <t>//#define HOMING_IS_JUST_ZEROING_MACHINE_POS</t>
  </si>
  <si>
    <t>// Grbl generic default settings. Should work across different machines.</t>
  </si>
  <si>
    <t>#define DEFAULT_X_STEPS_PER_MM 320.0</t>
  </si>
  <si>
    <t>#define DEFAULT_Y_STEPS_PER_MM 320.0</t>
  </si>
  <si>
    <t>#define DEFAULT_Z_STEPS_PER_MM 320.0</t>
  </si>
  <si>
    <t>#define DEFAULT_X_MAX_RATE 10000.0 // mm/min</t>
  </si>
  <si>
    <t>#define DEFAULT_Y_MAX_RATE 10000.0 // mm/min</t>
  </si>
  <si>
    <t>#define DEFAULT_Z_MAX_RATE 10000.0 // mm/min</t>
  </si>
  <si>
    <t>#define DEFAULT_X_ACCELERATION (150.0*60*60) // 1500*60*60 mm/min^2 = 1500 mm/sec^2</t>
  </si>
  <si>
    <t>#define DEFAULT_Y_ACCELERATION (150.0*60*60) // 1500*60*60 mm/min^2 = 1500 mm/sec^2</t>
  </si>
  <si>
    <t>#define DEFAULT_Z_ACCELERATION (150.0*60*60) // 1500*60*60 mm/min^2 = 1500 mm/sec^2</t>
  </si>
  <si>
    <t>#define DEFAULT_SPINDLE_RPM_MAX 24000.0 // rpm</t>
  </si>
  <si>
    <t>#define DEFAULT_SPINDLE_RPM_MIN 0.0 // rpm</t>
  </si>
  <si>
    <t>#define SPINDLE_INVERT_GRADIENT</t>
  </si>
  <si>
    <t>#define DEFAULT_STEP_PULSE_MICROSECONDS 10</t>
  </si>
  <si>
    <t>#define DEFAULT_STEPPING_INVERT_MASK 0</t>
  </si>
  <si>
    <t>#define DEFAULT_DIRECTION_INVERT_MASK 0x4</t>
  </si>
  <si>
    <t>#define DEFAULT_STEPPER_IDLE_LOCK_TIME 25 // msec (0-254, 255 keeps steppers enabled)</t>
  </si>
  <si>
    <t>#define DEFAULT_STATUS_REPORT_MASK 1 // MPos enabled</t>
  </si>
  <si>
    <t>#define DEFAULT_JUNCTION_DEVIATION 0.01 // mm</t>
  </si>
  <si>
    <t>#define DEFAULT_ARC_TOLERANCE 0.002 // mm</t>
  </si>
  <si>
    <t>#define DEFAULT_REPORT_INCHES 0 // false</t>
  </si>
  <si>
    <t>#define DEFAULT_EMPTY 0 // false</t>
  </si>
  <si>
    <t>#define DEFAULT_INVERT_LIMIT_PINS 1 // false</t>
  </si>
  <si>
    <t>#define DEFAULT_SOFT_LIMIT_ENABLE 0 // false</t>
  </si>
  <si>
    <t>#define DEFAULT_HARD_LIMIT_ENABLE 1  // false</t>
  </si>
  <si>
    <t>#define DEFAULT_LASER_MODE 0 // false</t>
  </si>
  <si>
    <t>#define DEFAULT_HOMING_ENABLE 1  // false</t>
  </si>
  <si>
    <t>#define DEFAULT_HOMING_DIR_MASK 3 // move positive dir</t>
  </si>
  <si>
    <t>#define DEFAULT_HOMING_FEED_RATE 25.0 // mm/min</t>
  </si>
  <si>
    <t>#define DEFAULT_HOMING_SEEK_RATE 500.0 // mm/min</t>
  </si>
  <si>
    <t>#define DEFAULT_HOMING_DEBOUNCE_DELAY 250 // msec (0-65k)</t>
  </si>
  <si>
    <t>#define DEFAULT_HOMING_PULLOFF 2.0 // mm</t>
  </si>
  <si>
    <t>// Alters the behavior of the spindle enable pin with the option . By default,</t>
  </si>
  <si>
    <t xml:space="preserve">// Grbl will not disable the enable pin if spindle speed is zero and M3/4 is active, but still sets the PWM </t>
  </si>
  <si>
    <t>// output to zero. This allows the users to know if the spindle is active and use it as an additional control</t>
  </si>
  <si>
    <t xml:space="preserve">// input. However, in some use cases, user may want the enable pin to disable with a zero spindle speed and </t>
  </si>
  <si>
    <t>// re-enable when spindle speed is greater than zero. This option does that.</t>
  </si>
  <si>
    <t>// Inverts the spindle enable pin from low-disabled/high-enabled to low-enabled/high-disabled. Useful</t>
  </si>
  <si>
    <t>// for some pre-built electronic boards.</t>
  </si>
  <si>
    <t>// #define INVERT_SPINDLE_ENABLE_PIN // Default disabled. Uncomment to enable.</t>
  </si>
  <si>
    <t>// Inverts the selected coolant pin from low-disabled/high-enabled to low-enabled/high-disabled. Useful</t>
  </si>
  <si>
    <t>// #define INVERT_COOLANT_FLOOD_PIN // Default disabled. Uncomment to enable.</t>
  </si>
  <si>
    <t>// #define INVERT_COOLANT_MIST_PIN // Default disabled. Note: Enable M7 mist coolant in config.h</t>
  </si>
  <si>
    <t>#define STEPPERS_ALWAYS_ENABLED</t>
  </si>
  <si>
    <t>#define DEFAULT_Y_MAX_TRAVEL 294.0 // mm NOTE: Must be a positive value.</t>
  </si>
  <si>
    <t>#define DEFAULT_Z_MAX_TRAVEL 76.0 // mm NOTE: Must be a positive value.</t>
  </si>
  <si>
    <t>#define HOMING_IS_JUST_ZEROING_MACHINE_POS</t>
  </si>
  <si>
    <t>extern volatile unsigned int dummyPORT;</t>
  </si>
  <si>
    <t>extern volatile unsigned int dummyLAT;</t>
  </si>
  <si>
    <t>extern volatile unsigned int dummyTRIS;</t>
  </si>
  <si>
    <t>#define SPINDLE_ENABLE_OFF_WITH_ZERO_SPEED // Default disabled. Uncomment to enable.</t>
  </si>
  <si>
    <t>#define DEFAULT_AUTOMATIC_TOOL_CHANGE 0</t>
  </si>
  <si>
    <t>#define DEFAULT_X_MAX_RATE 4000.0 // mm/min</t>
  </si>
  <si>
    <t>#define DEFAULT_Y_MAX_RATE 4000.0 // mm/min</t>
  </si>
  <si>
    <t>#define DEFAULT_Z_MAX_RATE 4000.0 // mm/min</t>
  </si>
  <si>
    <t>Test</t>
  </si>
  <si>
    <t>#define DEFAULT_SPINDLE_RPM_MIN 4000.0 // rpm</t>
  </si>
  <si>
    <t>#define DEFAULT_SPINDLE_RPM_MAX 30000.0 // rpm</t>
  </si>
  <si>
    <t>DEFAULTS_CNC_1_0_0</t>
  </si>
  <si>
    <t>cnc_1_0_0</t>
  </si>
  <si>
    <t>Break Out Board</t>
  </si>
  <si>
    <t>#define DEFAULT_INVERT_PROBE_PIN 1 // true</t>
  </si>
  <si>
    <t>#define DEFAULT_X_MAX_TRAVEL 2000.0 // mm NOTE: Must be a positive value.</t>
  </si>
  <si>
    <t>#define DEFAULT_Y_MAX_TRAVEL 1000.0 // mm NOTE: Must be a positive value.</t>
  </si>
  <si>
    <t>#define DEFAULT_Z_MAX_TRAVEL 500.0 // mm NOTE: Must be a positive value.</t>
  </si>
  <si>
    <t>C</t>
  </si>
  <si>
    <t>DEFAULTS_Arduino</t>
  </si>
  <si>
    <t>#define DEFAULT_X_STEPS_PER_MM 400.0</t>
  </si>
  <si>
    <t>#define DEFAULT_Y_STEPS_PER_MM 400.0</t>
  </si>
  <si>
    <t>#define DEFAULT_Z_STEPS_PER_MM 400.0</t>
  </si>
  <si>
    <t>#define DEFAULT_HOMING_ENABLE 1  // true</t>
  </si>
  <si>
    <t>#define DEFAULT_HOMING_SEEK_RATE 200.0 // mm/min</t>
  </si>
  <si>
    <t>#define DEFAULT_HOMING_FEED_RATE 50.0 // mm/min</t>
  </si>
  <si>
    <t>#define DEFAULT_HOMING_PULLOFF 0.5 // mm</t>
  </si>
  <si>
    <t>#define DEFAULT_X_MAX_RATE 400.0 // mm/min</t>
  </si>
  <si>
    <t>#define DEFAULT_Y_MAX_RATE 400.0 // mm/min</t>
  </si>
  <si>
    <t>#define DEFAULT_Z_MAX_RATE 400.0 // mm/min</t>
  </si>
  <si>
    <t>#define DEFAULT_X_MAX_TRAVEL 118.0 // mm NOTE: Must be a positive value.</t>
  </si>
  <si>
    <t>#define DEFAULT_Y_MAX_TRAVEL 40.0 // mm NOTE: Must be a positive value.</t>
  </si>
  <si>
    <t>#define DEFAULT_Z_MAX_TRAVEL 56.0 // mm NOTE: Must be a positive value.</t>
  </si>
  <si>
    <t>#define DEFAULT_X_MAX_TRAVEL 395.0 // mm NOTE: Must be a positive value.</t>
  </si>
  <si>
    <t>#define DEFAULT_X_ACCELERATION (25.0*60*60) // 25*60*60 mm/min^2 = 25 mm/sec^2</t>
  </si>
  <si>
    <t>#define DEFAULT_Y_ACCELERATION (25.0*60*60) // 25*60*60 mm/min^2 = 25 mm/sec^2</t>
  </si>
  <si>
    <t>#define DEFAULT_Z_ACCELERATION (25.0*60*60) // 25*60*60 mm/min^2 = 25 mm/sec^2</t>
  </si>
  <si>
    <t>#define DEFAULT_X_ACCELERATION (200.0*60*60) // 200*60*60 mm/min^2 = 200 mm/sec^2</t>
  </si>
  <si>
    <t>#define DEFAULT_Y_ACCELERATION (200.0*60*60) // 200*60*60 mm/min^2 = 200 mm/sec^2</t>
  </si>
  <si>
    <t>#define DEFAULT_Z_ACCELERATION (200.0*60*60) // 200*60*60 mm/min^2 = 200 mm/sec^2</t>
  </si>
  <si>
    <t>#define DEFAULT_Z_MAX_TRAVEL 96.0 // mm NOTE: Must be a positive value.</t>
  </si>
  <si>
    <t>#define CPU_MAP_PIC32_MZ</t>
  </si>
  <si>
    <t>DEFAULTS_CNC_1_0_0_MZ</t>
  </si>
  <si>
    <t>H</t>
  </si>
  <si>
    <t>#define DEFAULT_X_MAX_RATE 800.0 // mm/min</t>
  </si>
  <si>
    <t>#define DEFAULT_Y_MAX_RATE 800.0 // mm/min</t>
  </si>
  <si>
    <t>#define DEFAULT_Z_MAX_RATE 1000.0 // mm/min</t>
  </si>
  <si>
    <t>#define DEFAULT_X_MAX_TRAVEL 200.0 // mm NOTE: Must be a positive value.</t>
  </si>
  <si>
    <t>#define DEFAULT_Y_MAX_TRAVEL 200.0 // mm NOTE: Must be a positive value.</t>
  </si>
  <si>
    <t>#define DEFAULT_Z_MAX_TRAVEL 200.0 // mm NOTE: Must be a positive value.</t>
  </si>
  <si>
    <t>#define DEFAULT_HOMING_DIR_MASK 0 // move positive dir</t>
  </si>
  <si>
    <t>dummyTRIS1</t>
  </si>
  <si>
    <t>dummyTRIS2</t>
  </si>
  <si>
    <t>dummyTRIS3</t>
  </si>
  <si>
    <t>dummyTRIS4</t>
  </si>
  <si>
    <t>dummyTRIS5</t>
  </si>
  <si>
    <t>dummyTRIS6</t>
  </si>
  <si>
    <t>dummyTRIS7</t>
  </si>
  <si>
    <t>dummyPORT1</t>
  </si>
  <si>
    <t>dummyPORT2</t>
  </si>
  <si>
    <t>dummyPORT3</t>
  </si>
  <si>
    <t>dummyPORT4</t>
  </si>
  <si>
    <t>dummyPORT5</t>
  </si>
  <si>
    <t>dummyPORT6</t>
  </si>
  <si>
    <t>dummyPORT7</t>
  </si>
  <si>
    <t>dummyLAT1</t>
  </si>
  <si>
    <t>dummyLAT2</t>
  </si>
  <si>
    <t>dummyLAT3</t>
  </si>
  <si>
    <t>dummyLAT4</t>
  </si>
  <si>
    <t>dummyLAT5</t>
  </si>
  <si>
    <t>dummyLAT6</t>
  </si>
  <si>
    <t>dummyLAT7</t>
  </si>
  <si>
    <t>extern volatile unsigned int dummyPORT1;</t>
  </si>
  <si>
    <t>extern volatile unsigned int dummyPORT2;</t>
  </si>
  <si>
    <t>extern volatile unsigned int dummyPORT3;</t>
  </si>
  <si>
    <t>extern volatile unsigned int dummyPORT4;</t>
  </si>
  <si>
    <t>extern volatile unsigned int dummyPORT5;</t>
  </si>
  <si>
    <t>extern volatile unsigned int dummyPORT6;</t>
  </si>
  <si>
    <t>extern volatile unsigned int dummyPORT7;</t>
  </si>
  <si>
    <t>extern volatile unsigned int dummyLAT1;</t>
  </si>
  <si>
    <t>extern volatile unsigned int dummyLAT2;</t>
  </si>
  <si>
    <t>extern volatile unsigned int dummyLAT3;</t>
  </si>
  <si>
    <t>extern volatile unsigned int dummyLAT4;</t>
  </si>
  <si>
    <t>extern volatile unsigned int dummyLAT5;</t>
  </si>
  <si>
    <t>extern volatile unsigned int dummyLAT6;</t>
  </si>
  <si>
    <t>extern volatile unsigned int dummyLAT7;</t>
  </si>
  <si>
    <t>extern volatile unsigned int dummyTRIS1;</t>
  </si>
  <si>
    <t>extern volatile unsigned int dummyTRIS2;</t>
  </si>
  <si>
    <t>extern volatile unsigned int dummyTRIS3;</t>
  </si>
  <si>
    <t>extern volatile unsigned int dummyTRIS4;</t>
  </si>
  <si>
    <t>extern volatile unsigned int dummyTRIS5;</t>
  </si>
  <si>
    <t>extern volatile unsigned int dummyTRIS6;</t>
  </si>
  <si>
    <t>extern volatile unsigned int dummyTRIS7;</t>
  </si>
  <si>
    <t>//#define SPINDLE_FAKE_SPINDLE_RUNNING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</si>
</sst>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0" fontId="5" fillId="0" borderId="0" xfId="0" applyFont="1"/>
    <xf numFmtId="0" fontId="4" fillId="0" borderId="0" xfId="0" applyFont="1"/>
    <xf numFmtId="0" fontId="6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7</xdr:col>
          <xdr:colOff>142875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8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9525</xdr:rowOff>
        </xdr:from>
        <xdr:to>
          <xdr:col>2</xdr:col>
          <xdr:colOff>647700</xdr:colOff>
          <xdr:row>2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8A8DF-AFF8-480E-B3C7-1732A8DEA6CA}">
  <sheetPr codeName="Tabelle1"/>
  <dimension ref="A1"/>
  <sheetViews>
    <sheetView workbookViewId="0">
      <selection activeCell="D16" sqref="D15:D16"/>
    </sheetView>
  </sheetViews>
  <sheetFormatPr defaultColWidth="11.42578125" defaultRowHeight="15" x14ac:dyDescent="0.25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chaltfläche1_Klicken">
                <anchor mov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7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4F40-580C-4354-B308-B5CBCA574019}">
  <sheetPr codeName="Sheet15"/>
  <dimension ref="A1:W61"/>
  <sheetViews>
    <sheetView workbookViewId="0">
      <selection activeCell="D3" sqref="D3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159</v>
      </c>
      <c r="B2" s="12" t="s">
        <v>52</v>
      </c>
      <c r="C2" s="10" t="s">
        <v>63</v>
      </c>
      <c r="D2" s="11">
        <v>1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TRISBbits.TRISB1</v>
      </c>
      <c r="J2" s="9" t="str">
        <f>IF($C2&lt;&gt;"","PORT"&amp;$C2&amp;"bits.R"&amp;$C2&amp;$D2,"N/A")</f>
        <v>PORTBbits.RB1</v>
      </c>
      <c r="K2" s="9" t="str">
        <f>IF($C2&lt;&gt;"","LAT"&amp;$C2&amp;"bits.LAT"&amp;$C2&amp;$D2,"N/A")</f>
        <v>LATBbits.LATB1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TRISBbits.TRISB1</v>
      </c>
      <c r="R2" s="9" t="str">
        <f t="shared" ref="R2:S20" si="1">IF(J2="N/A","//#define "&amp;$O2&amp;" "&amp;J2,"#define "&amp;$O2&amp;" "&amp;J2)</f>
        <v>#define PROBE_PIN PORTBbits.RB1</v>
      </c>
      <c r="S2" s="9" t="str">
        <f>IF(K2="N/A","//#define "&amp;$O2&amp;" "&amp;K2,"#define "&amp;$O2&amp;" "&amp;K2)</f>
        <v>#define PROBE_PIN LATBbits.LATB1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159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159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159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159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159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159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159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159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159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159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159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159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159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159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159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159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159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159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159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EC1FA-F1DD-4FDC-91B8-108ECBC0AFB0}">
  <sheetPr codeName="Tabelle5"/>
  <dimension ref="A2:A171"/>
  <sheetViews>
    <sheetView tabSelected="1" topLeftCell="A137" workbookViewId="0">
      <selection activeCell="A160" sqref="A160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158</v>
      </c>
    </row>
    <row r="3" spans="1:1" x14ac:dyDescent="0.25">
      <c r="A3" t="s">
        <v>79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cnc_1_0_0_old_grbl!Q20</f>
        <v>#define STEP_X_DDR TRISEbits.TRISE0</v>
      </c>
    </row>
    <row r="10" spans="1:1" x14ac:dyDescent="0.25">
      <c r="A10" s="4" t="str">
        <f>cnc_1_0_0_old_grbl!Q19</f>
        <v>#define STEP_Y_DDR TRISEbits.TRISE2</v>
      </c>
    </row>
    <row r="11" spans="1:1" x14ac:dyDescent="0.25">
      <c r="A11" s="4" t="str">
        <f>cnc_1_0_0_old_grbl!Q18</f>
        <v>#define STEP_Z_DDR TRISEbits.TRISE4</v>
      </c>
    </row>
    <row r="12" spans="1:1" x14ac:dyDescent="0.25">
      <c r="A12" s="4" t="str">
        <f>cnc_1_0_0_old_grbl!S20</f>
        <v>#define STEP_X_PORT LATEbits.LATE0</v>
      </c>
    </row>
    <row r="13" spans="1:1" x14ac:dyDescent="0.25">
      <c r="A13" s="4" t="str">
        <f>cnc_1_0_0_old_grbl!S19</f>
        <v>#define STEP_Y_PORT LATEbits.LATE2</v>
      </c>
    </row>
    <row r="14" spans="1:1" x14ac:dyDescent="0.25">
      <c r="A14" s="4" t="str">
        <f>cnc_1_0_0_old_grbl!S18</f>
        <v>#define STEP_Z_PORT LATEbits.LATE4</v>
      </c>
    </row>
    <row r="16" spans="1:1" x14ac:dyDescent="0.25">
      <c r="A16" s="4" t="str">
        <f>cnc_1_0_0_old_grbl!Q17</f>
        <v>#define DIRECTION_X_DDR TRISEbits.TRISE1</v>
      </c>
    </row>
    <row r="17" spans="1:1" x14ac:dyDescent="0.25">
      <c r="A17" s="4" t="str">
        <f>cnc_1_0_0_old_grbl!Q16</f>
        <v>#define DIRECTION_Y_DDR TRISEbits.TRISE3</v>
      </c>
    </row>
    <row r="18" spans="1:1" x14ac:dyDescent="0.25">
      <c r="A18" s="4" t="str">
        <f>cnc_1_0_0_old_grbl!Q15</f>
        <v>#define DIRECTION_Z_DDR TRISEbits.TRISE5</v>
      </c>
    </row>
    <row r="19" spans="1:1" x14ac:dyDescent="0.25">
      <c r="A19" s="4" t="str">
        <f>cnc_1_0_0_old_grbl!S17</f>
        <v>#define DIRECTION_X_PORT LATEbits.LATE1</v>
      </c>
    </row>
    <row r="20" spans="1:1" x14ac:dyDescent="0.25">
      <c r="A20" s="4" t="str">
        <f>cnc_1_0_0_old_grbl!S16</f>
        <v>#define DIRECTION_Y_PORT LATEbits.LATE3</v>
      </c>
    </row>
    <row r="21" spans="1:1" x14ac:dyDescent="0.25">
      <c r="A21" s="4" t="str">
        <f>cnc_1_0_0_old_grbl!S15</f>
        <v>#define DIRECTION_Z_PORT LATEbits.LATE5</v>
      </c>
    </row>
    <row r="23" spans="1:1" x14ac:dyDescent="0.25">
      <c r="A23" s="4" t="str">
        <f>cnc_1_0_0_old_grbl!Q14</f>
        <v>#define STEPPERS_DISABLE_DDR TRISEbits.TRISE6</v>
      </c>
    </row>
    <row r="24" spans="1:1" x14ac:dyDescent="0.25">
      <c r="A24" s="4" t="str">
        <f>cnc_1_0_0_old_grbl!S14</f>
        <v>#define STEPPERS_DISABLE_PORT LATEbits.LATE6</v>
      </c>
    </row>
    <row r="26" spans="1:1" x14ac:dyDescent="0.25">
      <c r="A26" s="4" t="str">
        <f>cnc_1_0_0_old_grbl!Q13</f>
        <v>#define LIMIT_X_DDR TRISDbits.TRISD11</v>
      </c>
    </row>
    <row r="27" spans="1:1" x14ac:dyDescent="0.25">
      <c r="A27" s="4" t="str">
        <f>cnc_1_0_0_old_grbl!Q12</f>
        <v>#define LIMIT_Y_DDR TRISGbits.TRISG9</v>
      </c>
    </row>
    <row r="28" spans="1:1" x14ac:dyDescent="0.25">
      <c r="A28" s="4" t="str">
        <f>cnc_1_0_0_old_grbl!Q11</f>
        <v>#define LIMIT_Z_DDR TRISBbits.TRISB0</v>
      </c>
    </row>
    <row r="29" spans="1:1" x14ac:dyDescent="0.25">
      <c r="A29" s="4" t="str">
        <f>cnc_1_0_0_old_grbl!R13</f>
        <v>#define LIMIT_X_PIN PORTDbits.RD11</v>
      </c>
    </row>
    <row r="30" spans="1:1" x14ac:dyDescent="0.25">
      <c r="A30" s="4" t="str">
        <f>cnc_1_0_0_old_grbl!R12</f>
        <v>#define LIMIT_Y_PIN PORTGbits.RG9</v>
      </c>
    </row>
    <row r="31" spans="1:1" x14ac:dyDescent="0.25">
      <c r="A31" s="4" t="str">
        <f>cnc_1_0_0_old_grbl!R11</f>
        <v>#define LIMIT_Z_PIN PORTBbits.RB0</v>
      </c>
    </row>
    <row r="33" spans="1:1" x14ac:dyDescent="0.25">
      <c r="A33" s="4" t="str">
        <f>cnc_1_0_0_old_grbl!T13</f>
        <v>//#define LIMIT_X_PIN_PUE N/A</v>
      </c>
    </row>
    <row r="34" spans="1:1" x14ac:dyDescent="0.25">
      <c r="A34" s="4" t="str">
        <f>cnc_1_0_0_old_grbl!T12</f>
        <v>//#define LIMIT_Y_PIN_PUE N/A</v>
      </c>
    </row>
    <row r="35" spans="1:1" x14ac:dyDescent="0.25">
      <c r="A35" s="4" t="str">
        <f>cnc_1_0_0_old_grbl!T11</f>
        <v>//#define LIMIT_Z_PIN_PUE N/A</v>
      </c>
    </row>
    <row r="37" spans="1:1" x14ac:dyDescent="0.25">
      <c r="A37" s="4" t="str">
        <f>cnc_1_0_0_old_grbl!U13</f>
        <v>//#define LIMIT_X_PIN_CN N/A</v>
      </c>
    </row>
    <row r="38" spans="1:1" x14ac:dyDescent="0.25">
      <c r="A38" s="4" t="str">
        <f>cnc_1_0_0_old_grbl!U12</f>
        <v>//#define LIMIT_Y_PIN_CN N/A</v>
      </c>
    </row>
    <row r="39" spans="1:1" x14ac:dyDescent="0.25">
      <c r="A39" s="4" t="str">
        <f>cnc_1_0_0_old_grbl!U11</f>
        <v>//#define LIMIT_Z_PIN_CN N/A</v>
      </c>
    </row>
    <row r="41" spans="1:1" x14ac:dyDescent="0.25">
      <c r="A41" s="4" t="str">
        <f>cnc_1_0_0_old_grbl!Q9</f>
        <v>#define SPINDLE_ENABLE_DDR TRISDbits.TRISD4</v>
      </c>
    </row>
    <row r="42" spans="1:1" x14ac:dyDescent="0.25">
      <c r="A42" s="4" t="str">
        <f>cnc_1_0_0_old_grbl!S9</f>
        <v>#define SPINDLE_ENABLE_PORT LATDbits.LATD4</v>
      </c>
    </row>
    <row r="44" spans="1:1" x14ac:dyDescent="0.25">
      <c r="A44" s="4" t="str">
        <f>cnc_1_0_0_old_grbl!Q8</f>
        <v>//#define SPINDLE_DIRECTION_DDR N/A</v>
      </c>
    </row>
    <row r="45" spans="1:1" x14ac:dyDescent="0.25">
      <c r="A45" s="4" t="str">
        <f>cnc_1_0_0_old_grbl!S8</f>
        <v>//#define SPINDLE_DIRECTION_PORT N/A</v>
      </c>
    </row>
    <row r="47" spans="1:1" x14ac:dyDescent="0.25">
      <c r="A47" s="4" t="str">
        <f>cnc_1_0_0_old_grbl!Q10</f>
        <v>#define SPINDLE_PWM_DDR TRISDbits.TRISD1</v>
      </c>
    </row>
    <row r="49" spans="1:1" x14ac:dyDescent="0.25">
      <c r="A49" s="4" t="str">
        <f>cnc_1_0_0_old_grbl!V10</f>
        <v>#define VARIABLE_SPINDLE_OC 2</v>
      </c>
    </row>
    <row r="51" spans="1:1" x14ac:dyDescent="0.25">
      <c r="A51" s="4" t="str">
        <f>cnc_1_0_0_old_grbl!Q7</f>
        <v>//#define COOLANT_FLOOD_DDR N/A</v>
      </c>
    </row>
    <row r="52" spans="1:1" x14ac:dyDescent="0.25">
      <c r="A52" s="4" t="str">
        <f>cnc_1_0_0_old_grbl!S7</f>
        <v>//#define COOLANT_FLOOD_PORT N/A</v>
      </c>
    </row>
    <row r="53" spans="1:1" x14ac:dyDescent="0.25">
      <c r="A53" s="4" t="str">
        <f>cnc_1_0_0_old_grbl!Q21</f>
        <v>//#define COOLANT_MIST_DDR N/A</v>
      </c>
    </row>
    <row r="54" spans="1:1" x14ac:dyDescent="0.25">
      <c r="A54" s="4" t="str">
        <f>cnc_1_0_0_old_grbl!S21</f>
        <v>//#define COOLANT_MIST_PORT N/A</v>
      </c>
    </row>
    <row r="56" spans="1:1" x14ac:dyDescent="0.25">
      <c r="A56" s="4" t="str">
        <f>cnc_1_0_0_old_grbl!Q3</f>
        <v>#define CONTROL_ABORT_DDR TRISDbits.TRISD7</v>
      </c>
    </row>
    <row r="57" spans="1:1" x14ac:dyDescent="0.25">
      <c r="A57" s="4" t="str">
        <f>cnc_1_0_0_old_grbl!Q4</f>
        <v>//#define CONTROL_FEED_HOLD_DDR N/A</v>
      </c>
    </row>
    <row r="58" spans="1:1" x14ac:dyDescent="0.25">
      <c r="A58" s="4" t="str">
        <f>cnc_1_0_0_old_grbl!Q5</f>
        <v>//#define CONTROL_CYCLE_START_DDR N/A</v>
      </c>
    </row>
    <row r="59" spans="1:1" x14ac:dyDescent="0.25">
      <c r="A59" s="4" t="str">
        <f>cnc_1_0_0_old_grbl!Q6</f>
        <v>//#define CONTROL_SAFETY_DOOR_DDR N/A</v>
      </c>
    </row>
    <row r="61" spans="1:1" x14ac:dyDescent="0.25">
      <c r="A61" s="4" t="str">
        <f>cnc_1_0_0_old_grbl!R3</f>
        <v>#define CONTROL_ABORT_PIN PORTDbits.RD7</v>
      </c>
    </row>
    <row r="62" spans="1:1" x14ac:dyDescent="0.25">
      <c r="A62" s="4" t="str">
        <f>cnc_1_0_0_old_grbl!R4</f>
        <v>//#define CONTROL_FEED_HOLD_PIN N/A</v>
      </c>
    </row>
    <row r="63" spans="1:1" x14ac:dyDescent="0.25">
      <c r="A63" s="4" t="str">
        <f>cnc_1_0_0_old_grbl!R5</f>
        <v>//#define CONTROL_CYCLE_START_PIN N/A</v>
      </c>
    </row>
    <row r="64" spans="1:1" x14ac:dyDescent="0.25">
      <c r="A64" s="4" t="str">
        <f>cnc_1_0_0_old_grbl!R6</f>
        <v>//#define CONTROL_SAFETY_DOOR_PIN N/A</v>
      </c>
    </row>
    <row r="66" spans="1:1" x14ac:dyDescent="0.25">
      <c r="A66" s="4" t="str">
        <f>cnc_1_0_0_old_grbl!T3</f>
        <v>//#define CONTROL_ABORT_PIN_PUE N/A</v>
      </c>
    </row>
    <row r="67" spans="1:1" x14ac:dyDescent="0.25">
      <c r="A67" s="4" t="str">
        <f>cnc_1_0_0_old_grbl!T4</f>
        <v>//#define CONTROL_FEED_HOLD_PIN_PUE N/A</v>
      </c>
    </row>
    <row r="68" spans="1:1" x14ac:dyDescent="0.25">
      <c r="A68" s="4" t="str">
        <f>cnc_1_0_0_old_grbl!T5</f>
        <v>//#define CONTROL_CYCLE_START_PIN_PUE N/A</v>
      </c>
    </row>
    <row r="69" spans="1:1" x14ac:dyDescent="0.25">
      <c r="A69" s="4" t="str">
        <f>cnc_1_0_0_old_grbl!T6</f>
        <v>//#define CONTROL_SAFETY_DOOR_PIN_PUE N/A</v>
      </c>
    </row>
    <row r="71" spans="1:1" x14ac:dyDescent="0.25">
      <c r="A71" s="4" t="str">
        <f>cnc_1_0_0_old_grbl!U3</f>
        <v>//#define CONTROL_ABORT_PIN_CN N/A</v>
      </c>
    </row>
    <row r="72" spans="1:1" x14ac:dyDescent="0.25">
      <c r="A72" s="4" t="str">
        <f>cnc_1_0_0_old_grbl!U4</f>
        <v>//#define CONTROL_FEED_HOLD_PIN_CN N/A</v>
      </c>
    </row>
    <row r="73" spans="1:1" x14ac:dyDescent="0.25">
      <c r="A73" s="4" t="str">
        <f>cnc_1_0_0_old_grbl!U5</f>
        <v>//#define CONTROL_CYCLE_START_PIN_CN N/A</v>
      </c>
    </row>
    <row r="74" spans="1:1" x14ac:dyDescent="0.25">
      <c r="A74" s="4" t="str">
        <f>cnc_1_0_0_old_grbl!U6</f>
        <v>//#define CONTROL_SAFETY_DOOR_PIN_CN N/A</v>
      </c>
    </row>
    <row r="76" spans="1:1" x14ac:dyDescent="0.25">
      <c r="A76" s="4" t="str">
        <f>cnc_1_0_0_old_grbl!Q2</f>
        <v>#define PROBE_TRIS TRISBbits.TRISB1</v>
      </c>
    </row>
    <row r="77" spans="1:1" x14ac:dyDescent="0.25">
      <c r="A77" s="4" t="str">
        <f>cnc_1_0_0_old_grbl!R2</f>
        <v>#define PROBE_PIN PORTBbits.RB1</v>
      </c>
    </row>
    <row r="78" spans="1:1" x14ac:dyDescent="0.25">
      <c r="A78" s="4" t="str">
        <f>cnc_1_0_0_old_grbl!T2</f>
        <v>//#define PROBE_PIN_PUE N/A</v>
      </c>
    </row>
    <row r="79" spans="1:1" x14ac:dyDescent="0.25">
      <c r="A79" s="4" t="str">
        <f>cnc_1_0_0_old_grbl!U2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152</v>
      </c>
    </row>
    <row r="114" spans="1:1" x14ac:dyDescent="0.25">
      <c r="A114" t="s">
        <v>153</v>
      </c>
    </row>
    <row r="115" spans="1:1" x14ac:dyDescent="0.25">
      <c r="A115" t="s">
        <v>154</v>
      </c>
    </row>
    <row r="116" spans="1:1" x14ac:dyDescent="0.25">
      <c r="A116" t="s">
        <v>184</v>
      </c>
    </row>
    <row r="117" spans="1:1" x14ac:dyDescent="0.25">
      <c r="A117" t="s">
        <v>185</v>
      </c>
    </row>
    <row r="118" spans="1:1" x14ac:dyDescent="0.25">
      <c r="A118" t="s">
        <v>186</v>
      </c>
    </row>
    <row r="119" spans="1:1" x14ac:dyDescent="0.25">
      <c r="A119" t="s">
        <v>180</v>
      </c>
    </row>
    <row r="120" spans="1:1" x14ac:dyDescent="0.25">
      <c r="A120" t="s">
        <v>144</v>
      </c>
    </row>
    <row r="121" spans="1:1" x14ac:dyDescent="0.25">
      <c r="A121" t="s">
        <v>145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157</v>
      </c>
    </row>
    <row r="129" spans="1:1" x14ac:dyDescent="0.25">
      <c r="A129" t="s">
        <v>156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127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240</v>
      </c>
    </row>
    <row r="161" spans="1:1" x14ac:dyDescent="0.25">
      <c r="A161"/>
    </row>
    <row r="162" spans="1:1" x14ac:dyDescent="0.25">
      <c r="A162" t="s">
        <v>137</v>
      </c>
    </row>
    <row r="163" spans="1:1" x14ac:dyDescent="0.25">
      <c r="A163" t="s">
        <v>138</v>
      </c>
    </row>
    <row r="164" spans="1:1" x14ac:dyDescent="0.25">
      <c r="A164" t="s">
        <v>139</v>
      </c>
    </row>
    <row r="165" spans="1:1" x14ac:dyDescent="0.25">
      <c r="A165"/>
    </row>
    <row r="166" spans="1:1" x14ac:dyDescent="0.25">
      <c r="A166" t="s">
        <v>140</v>
      </c>
    </row>
    <row r="167" spans="1:1" x14ac:dyDescent="0.25">
      <c r="A167" t="s">
        <v>138</v>
      </c>
    </row>
    <row r="168" spans="1:1" x14ac:dyDescent="0.25">
      <c r="A168" t="s">
        <v>141</v>
      </c>
    </row>
    <row r="169" spans="1:1" x14ac:dyDescent="0.25">
      <c r="A169" t="s">
        <v>142</v>
      </c>
    </row>
    <row r="170" spans="1:1" x14ac:dyDescent="0.25">
      <c r="A170"/>
    </row>
    <row r="171" spans="1:1" x14ac:dyDescent="0.25">
      <c r="A171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PIC32_CodeGen_CNC_1_0_0_old_grbl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3F7A-741D-43F3-AD92-5A5727D3339E}">
  <sheetPr codeName="Sheet14"/>
  <dimension ref="A1:W61"/>
  <sheetViews>
    <sheetView workbookViewId="0">
      <selection activeCell="I1" sqref="I1:I1048576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58</v>
      </c>
      <c r="B2" s="12" t="s">
        <v>52</v>
      </c>
      <c r="C2" s="10" t="s">
        <v>64</v>
      </c>
      <c r="D2" s="11">
        <v>2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TRISDbits.TRISD2</v>
      </c>
      <c r="J2" s="9" t="str">
        <f>IF($C2&lt;&gt;"","PORT"&amp;$C2&amp;"bits.R"&amp;$C2&amp;$D2,"N/A")</f>
        <v>PORTDbits.RD2</v>
      </c>
      <c r="K2" s="9" t="str">
        <f>IF($C2&lt;&gt;"","LAT"&amp;$C2&amp;"bits.LAT"&amp;$C2&amp;$D2,"N/A")</f>
        <v>LATDbits.LATD2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TRISDbits.TRISD2</v>
      </c>
      <c r="R2" s="9" t="str">
        <f t="shared" ref="R2:S20" si="1">IF(J2="N/A","//#define "&amp;$O2&amp;" "&amp;J2,"#define "&amp;$O2&amp;" "&amp;J2)</f>
        <v>#define PROBE_PIN PORTDbits.RD2</v>
      </c>
      <c r="S2" s="9" t="str">
        <f>IF(K2="N/A","//#define "&amp;$O2&amp;" "&amp;K2,"#define "&amp;$O2&amp;" "&amp;K2)</f>
        <v>#define PROBE_PIN LATDbits.LATD2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58</v>
      </c>
      <c r="B3" s="12" t="s">
        <v>76</v>
      </c>
      <c r="C3" s="10"/>
      <c r="D3" s="11"/>
      <c r="E3" s="11"/>
      <c r="F3" s="11"/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58</v>
      </c>
      <c r="B8" s="2" t="s">
        <v>4</v>
      </c>
      <c r="C8" s="8" t="s">
        <v>65</v>
      </c>
      <c r="D8" s="1">
        <v>6</v>
      </c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TRISGbits.TRISG6</v>
      </c>
      <c r="J8" t="str">
        <f t="shared" si="4"/>
        <v>PORTGbits.RG6</v>
      </c>
      <c r="K8" t="str">
        <f t="shared" si="5"/>
        <v>LATGbits.LATG6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#define SPINDLE_DIRECTION_DDR TRISGbits.TRISG6</v>
      </c>
      <c r="R8" t="str">
        <f t="shared" si="1"/>
        <v>#define SPINDLE_DIRECTION_PORT PORTGbits.RG6</v>
      </c>
      <c r="S8" t="str">
        <f t="shared" si="1"/>
        <v>#define SPINDLE_DIRECTION_PORT LATGbits.LATG6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58</v>
      </c>
      <c r="B9" s="12" t="s">
        <v>5</v>
      </c>
      <c r="C9" s="10" t="s">
        <v>65</v>
      </c>
      <c r="D9" s="11">
        <v>7</v>
      </c>
      <c r="E9" s="11"/>
      <c r="F9" s="11"/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TRISGbits.TRISG7</v>
      </c>
      <c r="J9" s="9" t="str">
        <f t="shared" si="4"/>
        <v>PORTGbits.RG7</v>
      </c>
      <c r="K9" s="9" t="str">
        <f t="shared" si="5"/>
        <v>LATGbits.LATG7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TRISGbits.TRISG7</v>
      </c>
      <c r="R9" s="9" t="str">
        <f t="shared" si="1"/>
        <v>#define SPINDLE_ENABLE_PORT PORTGbits.RG7</v>
      </c>
      <c r="S9" s="9" t="str">
        <f t="shared" si="1"/>
        <v>#define SPINDLE_ENABLE_PORT LATGbits.LATG7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58</v>
      </c>
      <c r="B10" s="12" t="s">
        <v>67</v>
      </c>
      <c r="C10" s="10"/>
      <c r="D10" s="11"/>
      <c r="E10" s="11"/>
      <c r="F10" s="11"/>
      <c r="G10" s="11"/>
      <c r="H10" s="11"/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 xml:space="preserve">//#define VARIABLE_SPINDLE_OC </v>
      </c>
    </row>
    <row r="11" spans="1:23" s="9" customFormat="1" x14ac:dyDescent="0.25">
      <c r="A11" s="9" t="s">
        <v>58</v>
      </c>
      <c r="B11" s="12" t="s">
        <v>60</v>
      </c>
      <c r="C11" s="10" t="s">
        <v>65</v>
      </c>
      <c r="D11" s="11">
        <v>8</v>
      </c>
      <c r="E11" s="11"/>
      <c r="F11" s="11"/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TRISGbits.TRISG8</v>
      </c>
      <c r="J11" s="9" t="str">
        <f t="shared" si="4"/>
        <v>PORTGbits.RG8</v>
      </c>
      <c r="K11" s="9" t="str">
        <f t="shared" si="5"/>
        <v>LATGbits.LATG8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TRISGbits.TRISG8</v>
      </c>
      <c r="R11" s="9" t="str">
        <f t="shared" si="1"/>
        <v>#define LIMIT_Z_PIN PORTGbits.RG8</v>
      </c>
      <c r="S11" s="9" t="str">
        <f t="shared" si="1"/>
        <v>#define LIMIT_Z_PIN LATGbits.LATG8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58</v>
      </c>
      <c r="B12" s="12" t="s">
        <v>61</v>
      </c>
      <c r="C12" s="10" t="s">
        <v>65</v>
      </c>
      <c r="D12" s="11">
        <v>9</v>
      </c>
      <c r="E12" s="11"/>
      <c r="F12" s="11"/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58</v>
      </c>
      <c r="B13" s="12" t="s">
        <v>62</v>
      </c>
      <c r="C13" s="10" t="s">
        <v>63</v>
      </c>
      <c r="D13" s="11">
        <v>14</v>
      </c>
      <c r="E13" s="11"/>
      <c r="F13" s="11"/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TRISBbits.TRISB14</v>
      </c>
      <c r="J13" s="9" t="str">
        <f t="shared" si="4"/>
        <v>PORTBbits.RB14</v>
      </c>
      <c r="K13" s="9" t="str">
        <f t="shared" si="5"/>
        <v>LATBbits.LATB14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TRISBbits.TRISB14</v>
      </c>
      <c r="R13" s="9" t="str">
        <f t="shared" si="1"/>
        <v>#define LIMIT_X_PIN PORTBbits.RB14</v>
      </c>
      <c r="S13" s="9" t="str">
        <f t="shared" si="1"/>
        <v>#define LIMIT_X_PIN LATBbits.LATB14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58</v>
      </c>
      <c r="B14" s="12" t="s">
        <v>6</v>
      </c>
      <c r="C14" s="10" t="s">
        <v>63</v>
      </c>
      <c r="D14" s="11">
        <v>13</v>
      </c>
      <c r="E14" s="11"/>
      <c r="F14" s="11"/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TRISBbits.TRISB13</v>
      </c>
      <c r="J14" s="9" t="str">
        <f t="shared" si="4"/>
        <v>PORTBbits.RB13</v>
      </c>
      <c r="K14" s="9" t="str">
        <f t="shared" si="5"/>
        <v>LATBbits.LATB13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TRISBbits.TRISB13</v>
      </c>
      <c r="R14" s="9" t="str">
        <f t="shared" si="1"/>
        <v>#define STEPPERS_DISABLE_PORT PORTBbits.RB13</v>
      </c>
      <c r="S14" s="9" t="str">
        <f t="shared" si="1"/>
        <v>#define STEPPERS_DISABLE_PORT LATBbits.LATB13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58</v>
      </c>
      <c r="B15" s="12" t="s">
        <v>7</v>
      </c>
      <c r="C15" s="10" t="s">
        <v>64</v>
      </c>
      <c r="D15" s="11">
        <v>11</v>
      </c>
      <c r="E15" s="11"/>
      <c r="F15" s="11"/>
      <c r="G15" s="11"/>
      <c r="H15" s="11" t="str">
        <f>IF(ISERROR(VLOOKUP(B15,#REF!,6,FALSE))=TRUE,"",IF(VLOOKUP(B15,#REF!,6,FALSE)="","",VLOOKUP(B15,#REF!,6,FALSE)))</f>
        <v/>
      </c>
      <c r="I15" s="9" t="str">
        <f t="shared" si="3"/>
        <v>TRISDbits.TRISD11</v>
      </c>
      <c r="J15" s="9" t="str">
        <f t="shared" si="4"/>
        <v>PORTDbits.RD11</v>
      </c>
      <c r="K15" s="9" t="str">
        <f t="shared" si="5"/>
        <v>LATDbits.LATD11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TRISDbits.TRISD11</v>
      </c>
      <c r="R15" s="9" t="str">
        <f t="shared" si="1"/>
        <v>#define DIRECTION_Z_PORT PORTDbits.RD11</v>
      </c>
      <c r="S15" s="9" t="str">
        <f t="shared" si="1"/>
        <v>#define DIRECTION_Z_PORT LATDbits.LATD11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58</v>
      </c>
      <c r="B16" s="12" t="s">
        <v>8</v>
      </c>
      <c r="C16" s="10" t="s">
        <v>64</v>
      </c>
      <c r="D16" s="11">
        <v>8</v>
      </c>
      <c r="E16" s="11"/>
      <c r="F16" s="11"/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TRISDbits.TRISD8</v>
      </c>
      <c r="J16" s="9" t="str">
        <f t="shared" si="4"/>
        <v>PORTDbits.RD8</v>
      </c>
      <c r="K16" s="9" t="str">
        <f t="shared" si="5"/>
        <v>LATDbits.LATD8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TRISDbits.TRISD8</v>
      </c>
      <c r="R16" s="9" t="str">
        <f t="shared" si="1"/>
        <v>#define DIRECTION_Y_PORT PORTDbits.RD8</v>
      </c>
      <c r="S16" s="9" t="str">
        <f t="shared" si="1"/>
        <v>#define DIRECTION_Y_PORT LATDbits.LATD8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58</v>
      </c>
      <c r="B17" s="12" t="s">
        <v>9</v>
      </c>
      <c r="C17" s="10" t="s">
        <v>64</v>
      </c>
      <c r="D17" s="11">
        <v>7</v>
      </c>
      <c r="E17" s="11"/>
      <c r="F17" s="11"/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TRISDbits.TRISD7</v>
      </c>
      <c r="J17" s="9" t="str">
        <f t="shared" si="4"/>
        <v>PORTDbits.RD7</v>
      </c>
      <c r="K17" s="9" t="str">
        <f t="shared" si="5"/>
        <v>LATDbits.LATD7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TRISDbits.TRISD7</v>
      </c>
      <c r="R17" s="9" t="str">
        <f t="shared" si="1"/>
        <v>#define DIRECTION_X_PORT PORTDbits.RD7</v>
      </c>
      <c r="S17" s="9" t="str">
        <f t="shared" si="1"/>
        <v>#define DIRECTION_X_PORT LATDbits.LATD7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58</v>
      </c>
      <c r="B18" s="12" t="s">
        <v>10</v>
      </c>
      <c r="C18" s="10" t="s">
        <v>64</v>
      </c>
      <c r="D18" s="11">
        <v>6</v>
      </c>
      <c r="E18" s="11"/>
      <c r="F18" s="11"/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TRISDbits.TRISD6</v>
      </c>
      <c r="J18" s="9" t="str">
        <f t="shared" si="4"/>
        <v>PORTDbits.RD6</v>
      </c>
      <c r="K18" s="9" t="str">
        <f t="shared" si="5"/>
        <v>LATDbits.LATD6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TRISDbits.TRISD6</v>
      </c>
      <c r="R18" s="9" t="str">
        <f t="shared" si="1"/>
        <v>#define STEP_Z_PORT PORTDbits.RD6</v>
      </c>
      <c r="S18" s="9" t="str">
        <f t="shared" si="1"/>
        <v>#define STEP_Z_PORT LATDbits.LATD6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58</v>
      </c>
      <c r="B19" s="12" t="s">
        <v>11</v>
      </c>
      <c r="C19" s="10" t="s">
        <v>64</v>
      </c>
      <c r="D19" s="11">
        <v>5</v>
      </c>
      <c r="E19" s="11"/>
      <c r="F19" s="11"/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TRISDbits.TRISD5</v>
      </c>
      <c r="J19" s="9" t="str">
        <f t="shared" si="4"/>
        <v>PORTDbits.RD5</v>
      </c>
      <c r="K19" s="9" t="str">
        <f t="shared" si="5"/>
        <v>LATDbits.LATD5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TRISDbits.TRISD5</v>
      </c>
      <c r="R19" s="9" t="str">
        <f t="shared" si="1"/>
        <v>#define STEP_Y_PORT PORTDbits.RD5</v>
      </c>
      <c r="S19" s="9" t="str">
        <f t="shared" si="1"/>
        <v>#define STEP_Y_PORT LATDbits.LATD5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58</v>
      </c>
      <c r="B20" s="12" t="s">
        <v>12</v>
      </c>
      <c r="C20" s="10" t="s">
        <v>64</v>
      </c>
      <c r="D20" s="11">
        <v>4</v>
      </c>
      <c r="E20" s="11"/>
      <c r="F20" s="11"/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TRISDbits.TRISD4</v>
      </c>
      <c r="J20" s="9" t="str">
        <f t="shared" si="4"/>
        <v>PORTDbits.RD4</v>
      </c>
      <c r="K20" s="9" t="str">
        <f t="shared" si="5"/>
        <v>LATDbits.LATD4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TRISDbits.TRISD4</v>
      </c>
      <c r="R20" s="9" t="str">
        <f t="shared" si="1"/>
        <v>#define STEP_X_PORT PORTDbits.RD4</v>
      </c>
      <c r="S20" s="9" t="str">
        <f t="shared" si="1"/>
        <v>#define STEP_X_PORT LATDbits.LATD4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E22" s="1"/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F28" s="1"/>
      <c r="G28" s="1"/>
      <c r="H28" s="1"/>
    </row>
    <row r="29" spans="1:22" x14ac:dyDescent="0.25">
      <c r="C29" s="1"/>
      <c r="D29" s="1"/>
      <c r="F29" s="1"/>
      <c r="G29" s="1"/>
      <c r="H29" s="1"/>
    </row>
    <row r="30" spans="1:22" x14ac:dyDescent="0.25">
      <c r="C30" s="1"/>
      <c r="D30" s="1"/>
      <c r="F30" s="1"/>
      <c r="G30" s="1"/>
      <c r="H30" s="1"/>
    </row>
    <row r="31" spans="1:22" x14ac:dyDescent="0.25">
      <c r="C31" s="1"/>
      <c r="D31" s="1"/>
      <c r="F31" s="1"/>
      <c r="G31" s="1"/>
      <c r="H31" s="1"/>
    </row>
    <row r="32" spans="1:22" x14ac:dyDescent="0.25">
      <c r="B32" s="3"/>
      <c r="C32" s="1"/>
      <c r="D32" s="1"/>
      <c r="F32" s="1"/>
      <c r="G32" s="1"/>
      <c r="H32" s="1"/>
    </row>
    <row r="33" spans="2:8" x14ac:dyDescent="0.25">
      <c r="B33" s="3"/>
      <c r="C33" s="1"/>
      <c r="D33" s="1"/>
      <c r="F33" s="1"/>
      <c r="G33" s="1"/>
      <c r="H33" s="1"/>
    </row>
    <row r="34" spans="2:8" x14ac:dyDescent="0.25">
      <c r="B34" s="3"/>
      <c r="C34" s="1"/>
      <c r="D34" s="1"/>
      <c r="F34" s="1"/>
      <c r="G34" s="1"/>
      <c r="H34" s="1"/>
    </row>
    <row r="35" spans="2:8" x14ac:dyDescent="0.25">
      <c r="C35" s="1"/>
      <c r="D35" s="1"/>
      <c r="F35" s="1"/>
      <c r="G35" s="1"/>
      <c r="H35" s="1"/>
    </row>
    <row r="36" spans="2:8" x14ac:dyDescent="0.25">
      <c r="C36" s="1"/>
      <c r="D36" s="1"/>
      <c r="F36" s="1"/>
      <c r="G36" s="1"/>
      <c r="H36" s="1"/>
    </row>
    <row r="37" spans="2:8" x14ac:dyDescent="0.25">
      <c r="C37" s="1"/>
      <c r="D37" s="1"/>
      <c r="F37" s="1"/>
      <c r="G37" s="1"/>
      <c r="H37" s="1"/>
    </row>
    <row r="38" spans="2:8" x14ac:dyDescent="0.25">
      <c r="C38" s="1"/>
      <c r="D38" s="1"/>
      <c r="F38" s="1"/>
      <c r="G38" s="1"/>
      <c r="H38" s="1"/>
    </row>
    <row r="39" spans="2:8" x14ac:dyDescent="0.25">
      <c r="C39" s="1"/>
      <c r="D39" s="1"/>
      <c r="F39" s="1"/>
      <c r="G39" s="1"/>
      <c r="H39" s="1"/>
    </row>
    <row r="40" spans="2:8" x14ac:dyDescent="0.25">
      <c r="C40" s="1"/>
      <c r="D40" s="1"/>
      <c r="F40" s="1"/>
      <c r="G40" s="1"/>
      <c r="H40" s="1"/>
    </row>
    <row r="41" spans="2:8" x14ac:dyDescent="0.25">
      <c r="C41" s="1"/>
      <c r="D41" s="1"/>
      <c r="F41" s="1"/>
      <c r="G41" s="1"/>
      <c r="H41" s="1"/>
    </row>
    <row r="42" spans="2:8" x14ac:dyDescent="0.25">
      <c r="C42" s="1"/>
      <c r="D42" s="1"/>
      <c r="F42" s="1"/>
      <c r="G42" s="1"/>
      <c r="H42" s="1"/>
    </row>
    <row r="43" spans="2:8" x14ac:dyDescent="0.25">
      <c r="B43" s="2"/>
      <c r="C43" s="1"/>
      <c r="D43" s="1"/>
      <c r="F43" s="1"/>
      <c r="G43" s="1"/>
      <c r="H43" s="1"/>
    </row>
    <row r="44" spans="2:8" x14ac:dyDescent="0.25">
      <c r="B44" s="2"/>
      <c r="C44" s="1"/>
      <c r="D44" s="1"/>
      <c r="F44" s="1"/>
      <c r="G44" s="1"/>
      <c r="H44" s="1"/>
    </row>
    <row r="45" spans="2:8" x14ac:dyDescent="0.25">
      <c r="B45" s="2"/>
      <c r="C45" s="1"/>
      <c r="D45" s="1"/>
      <c r="F45" s="1"/>
      <c r="G45" s="1"/>
      <c r="H45" s="1"/>
    </row>
    <row r="46" spans="2:8" x14ac:dyDescent="0.25">
      <c r="B46" s="2"/>
      <c r="C46" s="1"/>
      <c r="D46" s="1"/>
      <c r="F46" s="1"/>
      <c r="G46" s="1"/>
      <c r="H46" s="1"/>
    </row>
    <row r="47" spans="2:8" x14ac:dyDescent="0.25">
      <c r="B47" s="2"/>
      <c r="C47" s="1"/>
      <c r="D47" s="1"/>
      <c r="F47" s="1"/>
      <c r="G47" s="1"/>
      <c r="H47" s="1"/>
    </row>
    <row r="48" spans="2:8" x14ac:dyDescent="0.25">
      <c r="C48" s="1"/>
      <c r="D48" s="1"/>
      <c r="F48" s="1"/>
      <c r="G48" s="1"/>
      <c r="H48" s="1"/>
    </row>
    <row r="49" spans="2:8" x14ac:dyDescent="0.25">
      <c r="C49" s="1"/>
      <c r="D49" s="1"/>
      <c r="F49" s="1"/>
      <c r="G49" s="1"/>
      <c r="H49" s="1"/>
    </row>
    <row r="50" spans="2:8" x14ac:dyDescent="0.25">
      <c r="C50" s="1"/>
      <c r="D50" s="1"/>
      <c r="F50" s="1"/>
      <c r="G50" s="1"/>
      <c r="H50" s="1"/>
    </row>
    <row r="51" spans="2:8" x14ac:dyDescent="0.25">
      <c r="C51" s="1"/>
      <c r="D51" s="1"/>
      <c r="F51" s="1"/>
      <c r="G51" s="1"/>
      <c r="H51" s="1"/>
    </row>
    <row r="52" spans="2:8" x14ac:dyDescent="0.25">
      <c r="B52" s="3"/>
      <c r="C52" s="1"/>
      <c r="D52" s="1"/>
      <c r="F52" s="1"/>
      <c r="G52" s="1"/>
      <c r="H52" s="1"/>
    </row>
    <row r="53" spans="2:8" x14ac:dyDescent="0.25">
      <c r="B53" s="3"/>
      <c r="C53" s="1"/>
      <c r="D53" s="1"/>
      <c r="F53" s="1"/>
      <c r="G53" s="1"/>
      <c r="H53" s="1"/>
    </row>
    <row r="54" spans="2:8" x14ac:dyDescent="0.25">
      <c r="B54" s="3"/>
      <c r="C54" s="1"/>
      <c r="D54" s="1"/>
      <c r="F54" s="1"/>
      <c r="G54" s="1"/>
      <c r="H54" s="1"/>
    </row>
    <row r="55" spans="2:8" x14ac:dyDescent="0.25">
      <c r="C55" s="1"/>
      <c r="D55" s="1"/>
      <c r="F55" s="1"/>
      <c r="G55" s="1"/>
      <c r="H55" s="1"/>
    </row>
    <row r="56" spans="2:8" x14ac:dyDescent="0.25">
      <c r="C56" s="1"/>
      <c r="D56" s="1"/>
      <c r="F56" s="1"/>
      <c r="G56" s="1"/>
      <c r="H56" s="1"/>
    </row>
    <row r="57" spans="2:8" x14ac:dyDescent="0.25">
      <c r="C57" s="1"/>
      <c r="D57" s="1"/>
      <c r="F57" s="1"/>
      <c r="G57" s="1"/>
      <c r="H57" s="1"/>
    </row>
    <row r="58" spans="2:8" x14ac:dyDescent="0.25">
      <c r="C58" s="1"/>
      <c r="D58" s="1"/>
      <c r="F58" s="1"/>
      <c r="G58" s="1"/>
      <c r="H58" s="1"/>
    </row>
    <row r="59" spans="2:8" x14ac:dyDescent="0.25">
      <c r="C59" s="1"/>
      <c r="D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9C5B-5C90-4E22-85C2-31D465088929}">
  <sheetPr codeName="Tabelle4"/>
  <dimension ref="A2:A171"/>
  <sheetViews>
    <sheetView topLeftCell="A140" workbookViewId="0">
      <selection activeCell="A158" sqref="A158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166</v>
      </c>
    </row>
    <row r="3" spans="1:1" x14ac:dyDescent="0.25">
      <c r="A3" t="s">
        <v>79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Arduino!Q20</f>
        <v>#define STEP_X_DDR TRISDbits.TRISD4</v>
      </c>
    </row>
    <row r="10" spans="1:1" x14ac:dyDescent="0.25">
      <c r="A10" s="4" t="str">
        <f>Arduino!Q19</f>
        <v>#define STEP_Y_DDR TRISDbits.TRISD5</v>
      </c>
    </row>
    <row r="11" spans="1:1" x14ac:dyDescent="0.25">
      <c r="A11" s="4" t="str">
        <f>Arduino!Q18</f>
        <v>#define STEP_Z_DDR TRISDbits.TRISD6</v>
      </c>
    </row>
    <row r="12" spans="1:1" x14ac:dyDescent="0.25">
      <c r="A12" s="4" t="str">
        <f>Arduino!S20</f>
        <v>#define STEP_X_PORT LATDbits.LATD4</v>
      </c>
    </row>
    <row r="13" spans="1:1" x14ac:dyDescent="0.25">
      <c r="A13" s="4" t="str">
        <f>Arduino!S19</f>
        <v>#define STEP_Y_PORT LATDbits.LATD5</v>
      </c>
    </row>
    <row r="14" spans="1:1" x14ac:dyDescent="0.25">
      <c r="A14" s="4" t="str">
        <f>Arduino!S18</f>
        <v>#define STEP_Z_PORT LATDbits.LATD6</v>
      </c>
    </row>
    <row r="16" spans="1:1" x14ac:dyDescent="0.25">
      <c r="A16" s="4" t="str">
        <f>Arduino!Q17</f>
        <v>#define DIRECTION_X_DDR TRISDbits.TRISD7</v>
      </c>
    </row>
    <row r="17" spans="1:1" x14ac:dyDescent="0.25">
      <c r="A17" s="4" t="str">
        <f>Arduino!Q16</f>
        <v>#define DIRECTION_Y_DDR TRISDbits.TRISD8</v>
      </c>
    </row>
    <row r="18" spans="1:1" x14ac:dyDescent="0.25">
      <c r="A18" s="4" t="str">
        <f>Arduino!Q15</f>
        <v>#define DIRECTION_Z_DDR TRISDbits.TRISD11</v>
      </c>
    </row>
    <row r="19" spans="1:1" x14ac:dyDescent="0.25">
      <c r="A19" s="4" t="str">
        <f>Arduino!S17</f>
        <v>#define DIRECTION_X_PORT LATDbits.LATD7</v>
      </c>
    </row>
    <row r="20" spans="1:1" x14ac:dyDescent="0.25">
      <c r="A20" s="4" t="str">
        <f>Arduino!S16</f>
        <v>#define DIRECTION_Y_PORT LATDbits.LATD8</v>
      </c>
    </row>
    <row r="21" spans="1:1" x14ac:dyDescent="0.25">
      <c r="A21" s="4" t="str">
        <f>Arduino!S15</f>
        <v>#define DIRECTION_Z_PORT LATDbits.LATD11</v>
      </c>
    </row>
    <row r="23" spans="1:1" x14ac:dyDescent="0.25">
      <c r="A23" s="4" t="str">
        <f>Arduino!Q14</f>
        <v>#define STEPPERS_DISABLE_DDR TRISBbits.TRISB13</v>
      </c>
    </row>
    <row r="24" spans="1:1" x14ac:dyDescent="0.25">
      <c r="A24" s="4" t="str">
        <f>Arduino!S14</f>
        <v>#define STEPPERS_DISABLE_PORT LATBbits.LATB13</v>
      </c>
    </row>
    <row r="26" spans="1:1" x14ac:dyDescent="0.25">
      <c r="A26" s="4" t="str">
        <f>Arduino!Q13</f>
        <v>#define LIMIT_X_DDR TRISBbits.TRISB14</v>
      </c>
    </row>
    <row r="27" spans="1:1" x14ac:dyDescent="0.25">
      <c r="A27" s="4" t="str">
        <f>Arduino!Q12</f>
        <v>#define LIMIT_Y_DDR TRISGbits.TRISG9</v>
      </c>
    </row>
    <row r="28" spans="1:1" x14ac:dyDescent="0.25">
      <c r="A28" s="4" t="str">
        <f>Arduino!Q11</f>
        <v>#define LIMIT_Z_DDR TRISGbits.TRISG8</v>
      </c>
    </row>
    <row r="29" spans="1:1" x14ac:dyDescent="0.25">
      <c r="A29" s="4" t="str">
        <f>Arduino!R13</f>
        <v>#define LIMIT_X_PIN PORTBbits.RB14</v>
      </c>
    </row>
    <row r="30" spans="1:1" x14ac:dyDescent="0.25">
      <c r="A30" s="4" t="str">
        <f>Arduino!R12</f>
        <v>#define LIMIT_Y_PIN PORTGbits.RG9</v>
      </c>
    </row>
    <row r="31" spans="1:1" x14ac:dyDescent="0.25">
      <c r="A31" s="4" t="str">
        <f>Arduino!R11</f>
        <v>#define LIMIT_Z_PIN PORTGbits.RG8</v>
      </c>
    </row>
    <row r="33" spans="1:1" x14ac:dyDescent="0.25">
      <c r="A33" s="4" t="str">
        <f>Arduino!T13</f>
        <v>//#define LIMIT_X_PIN_PUE N/A</v>
      </c>
    </row>
    <row r="34" spans="1:1" x14ac:dyDescent="0.25">
      <c r="A34" s="4" t="str">
        <f>Arduino!T12</f>
        <v>//#define LIMIT_Y_PIN_PUE N/A</v>
      </c>
    </row>
    <row r="35" spans="1:1" x14ac:dyDescent="0.25">
      <c r="A35" s="4" t="str">
        <f>Arduino!T11</f>
        <v>//#define LIMIT_Z_PIN_PUE N/A</v>
      </c>
    </row>
    <row r="37" spans="1:1" x14ac:dyDescent="0.25">
      <c r="A37" s="4" t="str">
        <f>Arduino!U13</f>
        <v>//#define LIMIT_X_PIN_CN N/A</v>
      </c>
    </row>
    <row r="38" spans="1:1" x14ac:dyDescent="0.25">
      <c r="A38" s="4" t="str">
        <f>Arduino!U12</f>
        <v>//#define LIMIT_Y_PIN_CN N/A</v>
      </c>
    </row>
    <row r="39" spans="1:1" x14ac:dyDescent="0.25">
      <c r="A39" s="4" t="str">
        <f>Arduino!U11</f>
        <v>//#define LIMIT_Z_PIN_CN N/A</v>
      </c>
    </row>
    <row r="41" spans="1:1" x14ac:dyDescent="0.25">
      <c r="A41" s="4" t="str">
        <f>Arduino!Q9</f>
        <v>#define SPINDLE_ENABLE_DDR TRISGbits.TRISG7</v>
      </c>
    </row>
    <row r="42" spans="1:1" x14ac:dyDescent="0.25">
      <c r="A42" s="4" t="str">
        <f>Arduino!S9</f>
        <v>#define SPINDLE_ENABLE_PORT LATGbits.LATG7</v>
      </c>
    </row>
    <row r="44" spans="1:1" x14ac:dyDescent="0.25">
      <c r="A44" s="4" t="str">
        <f>Arduino!Q8</f>
        <v>#define SPINDLE_DIRECTION_DDR TRISGbits.TRISG6</v>
      </c>
    </row>
    <row r="45" spans="1:1" x14ac:dyDescent="0.25">
      <c r="A45" s="4" t="str">
        <f>Arduino!S8</f>
        <v>#define SPINDLE_DIRECTION_PORT LATGbits.LATG6</v>
      </c>
    </row>
    <row r="47" spans="1:1" x14ac:dyDescent="0.25">
      <c r="A47" s="4" t="str">
        <f>Arduino!Q10</f>
        <v>//#define SPINDLE_PWM_DDR N/A</v>
      </c>
    </row>
    <row r="49" spans="1:1" x14ac:dyDescent="0.25">
      <c r="A49" s="4" t="str">
        <f>Arduino!V10</f>
        <v xml:space="preserve">//#define VARIABLE_SPINDLE_OC </v>
      </c>
    </row>
    <row r="51" spans="1:1" x14ac:dyDescent="0.25">
      <c r="A51" s="4" t="str">
        <f>Arduino!Q7</f>
        <v>//#define COOLANT_FLOOD_DDR N/A</v>
      </c>
    </row>
    <row r="52" spans="1:1" x14ac:dyDescent="0.25">
      <c r="A52" s="4" t="str">
        <f>Arduino!S7</f>
        <v>//#define COOLANT_FLOOD_PORT N/A</v>
      </c>
    </row>
    <row r="53" spans="1:1" x14ac:dyDescent="0.25">
      <c r="A53" s="4" t="str">
        <f>Arduino!Q21</f>
        <v>//#define COOLANT_MIST_DDR N/A</v>
      </c>
    </row>
    <row r="54" spans="1:1" x14ac:dyDescent="0.25">
      <c r="A54" s="4" t="str">
        <f>Arduino!S21</f>
        <v>//#define COOLANT_MIST_PORT N/A</v>
      </c>
    </row>
    <row r="56" spans="1:1" x14ac:dyDescent="0.25">
      <c r="A56" s="4" t="str">
        <f>Arduino!Q3</f>
        <v>//#define CONTROL_ABORT_DDR N/A</v>
      </c>
    </row>
    <row r="57" spans="1:1" x14ac:dyDescent="0.25">
      <c r="A57" s="4" t="str">
        <f>Arduino!Q4</f>
        <v>//#define CONTROL_FEED_HOLD_DDR N/A</v>
      </c>
    </row>
    <row r="58" spans="1:1" x14ac:dyDescent="0.25">
      <c r="A58" s="4" t="str">
        <f>Arduino!Q5</f>
        <v>//#define CONTROL_CYCLE_START_DDR N/A</v>
      </c>
    </row>
    <row r="59" spans="1:1" x14ac:dyDescent="0.25">
      <c r="A59" s="4" t="str">
        <f>Arduino!Q6</f>
        <v>//#define CONTROL_SAFETY_DOOR_DDR N/A</v>
      </c>
    </row>
    <row r="61" spans="1:1" x14ac:dyDescent="0.25">
      <c r="A61" s="4" t="str">
        <f>Arduino!R3</f>
        <v>//#define CONTROL_ABORT_PIN N/A</v>
      </c>
    </row>
    <row r="62" spans="1:1" x14ac:dyDescent="0.25">
      <c r="A62" s="4" t="str">
        <f>Arduino!R4</f>
        <v>//#define CONTROL_FEED_HOLD_PIN N/A</v>
      </c>
    </row>
    <row r="63" spans="1:1" x14ac:dyDescent="0.25">
      <c r="A63" s="4" t="str">
        <f>Arduino!R5</f>
        <v>//#define CONTROL_CYCLE_START_PIN N/A</v>
      </c>
    </row>
    <row r="64" spans="1:1" x14ac:dyDescent="0.25">
      <c r="A64" s="4" t="str">
        <f>Arduino!R6</f>
        <v>//#define CONTROL_SAFETY_DOOR_PIN N/A</v>
      </c>
    </row>
    <row r="66" spans="1:1" x14ac:dyDescent="0.25">
      <c r="A66" s="4" t="str">
        <f>Arduino!T3</f>
        <v>//#define CONTROL_ABORT_PIN_PUE N/A</v>
      </c>
    </row>
    <row r="67" spans="1:1" x14ac:dyDescent="0.25">
      <c r="A67" s="4" t="str">
        <f>Arduino!T4</f>
        <v>//#define CONTROL_FEED_HOLD_PIN_PUE N/A</v>
      </c>
    </row>
    <row r="68" spans="1:1" x14ac:dyDescent="0.25">
      <c r="A68" s="4" t="str">
        <f>Arduino!T5</f>
        <v>//#define CONTROL_CYCLE_START_PIN_PUE N/A</v>
      </c>
    </row>
    <row r="69" spans="1:1" x14ac:dyDescent="0.25">
      <c r="A69" s="4" t="str">
        <f>Arduino!T6</f>
        <v>//#define CONTROL_SAFETY_DOOR_PIN_PUE N/A</v>
      </c>
    </row>
    <row r="71" spans="1:1" x14ac:dyDescent="0.25">
      <c r="A71" s="4" t="str">
        <f>Arduino!U3</f>
        <v>//#define CONTROL_ABORT_PIN_CN N/A</v>
      </c>
    </row>
    <row r="72" spans="1:1" x14ac:dyDescent="0.25">
      <c r="A72" s="4" t="str">
        <f>Arduino!U4</f>
        <v>//#define CONTROL_FEED_HOLD_PIN_CN N/A</v>
      </c>
    </row>
    <row r="73" spans="1:1" x14ac:dyDescent="0.25">
      <c r="A73" s="4" t="str">
        <f>Arduino!U5</f>
        <v>//#define CONTROL_CYCLE_START_PIN_CN N/A</v>
      </c>
    </row>
    <row r="74" spans="1:1" x14ac:dyDescent="0.25">
      <c r="A74" s="4" t="str">
        <f>Arduino!U6</f>
        <v>//#define CONTROL_SAFETY_DOOR_PIN_CN N/A</v>
      </c>
    </row>
    <row r="76" spans="1:1" x14ac:dyDescent="0.25">
      <c r="A76" s="4" t="str">
        <f>Arduino!Q2</f>
        <v>#define PROBE_TRIS TRISDbits.TRISD2</v>
      </c>
    </row>
    <row r="77" spans="1:1" x14ac:dyDescent="0.25">
      <c r="A77" s="4" t="str">
        <f>Arduino!R2</f>
        <v>#define PROBE_PIN PORTDbits.RD2</v>
      </c>
    </row>
    <row r="78" spans="1:1" x14ac:dyDescent="0.25">
      <c r="A78" s="4" t="str">
        <f>Arduino!T2</f>
        <v>//#define PROBE_PIN_PUE N/A</v>
      </c>
    </row>
    <row r="79" spans="1:1" x14ac:dyDescent="0.25">
      <c r="A79" s="4" t="str">
        <f>Arduino!U2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9" spans="1:1" x14ac:dyDescent="0.25">
      <c r="A109" t="s">
        <v>100</v>
      </c>
    </row>
    <row r="110" spans="1:1" x14ac:dyDescent="0.25">
      <c r="A110" t="s">
        <v>167</v>
      </c>
    </row>
    <row r="111" spans="1:1" x14ac:dyDescent="0.25">
      <c r="A111" t="s">
        <v>168</v>
      </c>
    </row>
    <row r="112" spans="1:1" x14ac:dyDescent="0.25">
      <c r="A112" t="s">
        <v>169</v>
      </c>
    </row>
    <row r="113" spans="1:1" x14ac:dyDescent="0.25">
      <c r="A113" t="s">
        <v>174</v>
      </c>
    </row>
    <row r="114" spans="1:1" x14ac:dyDescent="0.25">
      <c r="A114" t="s">
        <v>175</v>
      </c>
    </row>
    <row r="115" spans="1:1" x14ac:dyDescent="0.25">
      <c r="A115" t="s">
        <v>176</v>
      </c>
    </row>
    <row r="116" spans="1:1" x14ac:dyDescent="0.25">
      <c r="A116" t="s">
        <v>181</v>
      </c>
    </row>
    <row r="117" spans="1:1" x14ac:dyDescent="0.25">
      <c r="A117" t="s">
        <v>182</v>
      </c>
    </row>
    <row r="118" spans="1:1" x14ac:dyDescent="0.25">
      <c r="A118" t="s">
        <v>183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157</v>
      </c>
    </row>
    <row r="129" spans="1:1" x14ac:dyDescent="0.25">
      <c r="A129" t="s">
        <v>156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127</v>
      </c>
    </row>
    <row r="147" spans="1:1" x14ac:dyDescent="0.25">
      <c r="A147" t="s">
        <v>172</v>
      </c>
    </row>
    <row r="148" spans="1:1" x14ac:dyDescent="0.25">
      <c r="A148" t="s">
        <v>171</v>
      </c>
    </row>
    <row r="149" spans="1:1" x14ac:dyDescent="0.25">
      <c r="A149" t="s">
        <v>130</v>
      </c>
    </row>
    <row r="150" spans="1:1" x14ac:dyDescent="0.25">
      <c r="A150" t="s">
        <v>173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240</v>
      </c>
    </row>
    <row r="161" spans="1:1" x14ac:dyDescent="0.25">
      <c r="A161"/>
    </row>
    <row r="162" spans="1:1" x14ac:dyDescent="0.25">
      <c r="A162" t="s">
        <v>137</v>
      </c>
    </row>
    <row r="163" spans="1:1" x14ac:dyDescent="0.25">
      <c r="A163" t="s">
        <v>138</v>
      </c>
    </row>
    <row r="164" spans="1:1" x14ac:dyDescent="0.25">
      <c r="A164" t="s">
        <v>139</v>
      </c>
    </row>
    <row r="165" spans="1:1" x14ac:dyDescent="0.25">
      <c r="A165"/>
    </row>
    <row r="166" spans="1:1" x14ac:dyDescent="0.25">
      <c r="A166" t="s">
        <v>140</v>
      </c>
    </row>
    <row r="167" spans="1:1" x14ac:dyDescent="0.25">
      <c r="A167" t="s">
        <v>138</v>
      </c>
    </row>
    <row r="168" spans="1:1" x14ac:dyDescent="0.25">
      <c r="A168" t="s">
        <v>141</v>
      </c>
    </row>
    <row r="169" spans="1:1" x14ac:dyDescent="0.25">
      <c r="A169" t="s">
        <v>142</v>
      </c>
    </row>
    <row r="170" spans="1:1" x14ac:dyDescent="0.25">
      <c r="A170"/>
    </row>
    <row r="171" spans="1:1" x14ac:dyDescent="0.25">
      <c r="A171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IC32_CodeGen_Arduino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AB75-450A-4FAA-B6EC-3B85E81C0B9D}">
  <sheetPr codeName="Sheet13"/>
  <dimension ref="A1:W61"/>
  <sheetViews>
    <sheetView workbookViewId="0"/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159</v>
      </c>
      <c r="B2" s="12" t="s">
        <v>52</v>
      </c>
      <c r="C2" s="10" t="s">
        <v>165</v>
      </c>
      <c r="D2" s="11">
        <v>13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TRISCbits.TRISC13</v>
      </c>
      <c r="J2" s="9" t="str">
        <f>IF($C2&lt;&gt;"","PORT"&amp;$C2&amp;"bits.R"&amp;$C2&amp;$D2,"N/A")</f>
        <v>PORTCbits.RC13</v>
      </c>
      <c r="K2" s="9" t="str">
        <f>IF($C2&lt;&gt;"","LAT"&amp;$C2&amp;"bits.LAT"&amp;$C2&amp;$D2,"N/A")</f>
        <v>LATCbits.LATC13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TRISCbits.TRISC13</v>
      </c>
      <c r="R2" s="9" t="str">
        <f t="shared" ref="R2:S20" si="1">IF(J2="N/A","//#define "&amp;$O2&amp;" "&amp;J2,"#define "&amp;$O2&amp;" "&amp;J2)</f>
        <v>#define PROBE_PIN PORTCbits.RC13</v>
      </c>
      <c r="S2" s="9" t="str">
        <f>IF(K2="N/A","//#define "&amp;$O2&amp;" "&amp;K2,"#define "&amp;$O2&amp;" "&amp;K2)</f>
        <v>#define PROBE_PIN LATCbits.LATC13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159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159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159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159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159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159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159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159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159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159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159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159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159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159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159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159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159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159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159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honeticPr fontId="8" type="noConversion"/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39CD-BF64-40CB-AFBA-239F8F938F5F}">
  <sheetPr codeName="Tabelle3"/>
  <dimension ref="A2:A171"/>
  <sheetViews>
    <sheetView topLeftCell="A140" workbookViewId="0">
      <selection activeCell="A158" sqref="A158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158</v>
      </c>
    </row>
    <row r="3" spans="1:1" x14ac:dyDescent="0.25">
      <c r="A3" t="s">
        <v>79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152</v>
      </c>
    </row>
    <row r="114" spans="1:1" x14ac:dyDescent="0.25">
      <c r="A114" t="s">
        <v>153</v>
      </c>
    </row>
    <row r="115" spans="1:1" x14ac:dyDescent="0.25">
      <c r="A115" t="s">
        <v>154</v>
      </c>
    </row>
    <row r="116" spans="1:1" x14ac:dyDescent="0.25">
      <c r="A116" t="s">
        <v>184</v>
      </c>
    </row>
    <row r="117" spans="1:1" x14ac:dyDescent="0.25">
      <c r="A117" t="s">
        <v>185</v>
      </c>
    </row>
    <row r="118" spans="1:1" x14ac:dyDescent="0.25">
      <c r="A118" t="s">
        <v>186</v>
      </c>
    </row>
    <row r="119" spans="1:1" x14ac:dyDescent="0.25">
      <c r="A119" t="s">
        <v>180</v>
      </c>
    </row>
    <row r="120" spans="1:1" x14ac:dyDescent="0.25">
      <c r="A120" t="s">
        <v>144</v>
      </c>
    </row>
    <row r="121" spans="1:1" x14ac:dyDescent="0.25">
      <c r="A121" t="s">
        <v>187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157</v>
      </c>
    </row>
    <row r="129" spans="1:1" x14ac:dyDescent="0.25">
      <c r="A129" t="s">
        <v>156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127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240</v>
      </c>
    </row>
    <row r="161" spans="1:1" x14ac:dyDescent="0.25">
      <c r="A161"/>
    </row>
    <row r="162" spans="1:1" x14ac:dyDescent="0.25">
      <c r="A162" t="s">
        <v>137</v>
      </c>
    </row>
    <row r="163" spans="1:1" x14ac:dyDescent="0.25">
      <c r="A163" t="s">
        <v>138</v>
      </c>
    </row>
    <row r="164" spans="1:1" x14ac:dyDescent="0.25">
      <c r="A164" t="s">
        <v>139</v>
      </c>
    </row>
    <row r="165" spans="1:1" x14ac:dyDescent="0.25">
      <c r="A165"/>
    </row>
    <row r="166" spans="1:1" x14ac:dyDescent="0.25">
      <c r="A166" t="s">
        <v>140</v>
      </c>
    </row>
    <row r="167" spans="1:1" x14ac:dyDescent="0.25">
      <c r="A167" t="s">
        <v>138</v>
      </c>
    </row>
    <row r="168" spans="1:1" x14ac:dyDescent="0.25">
      <c r="A168" t="s">
        <v>141</v>
      </c>
    </row>
    <row r="169" spans="1:1" x14ac:dyDescent="0.25">
      <c r="A169" t="s">
        <v>142</v>
      </c>
    </row>
    <row r="170" spans="1:1" x14ac:dyDescent="0.25">
      <c r="A170"/>
    </row>
    <row r="171" spans="1:1" x14ac:dyDescent="0.25">
      <c r="A171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PIC32_CodeGen_CNC_1_0_0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D43E1-F7CE-421D-A0CE-77997FCE2E29}">
  <sheetPr codeName="Sheet16"/>
  <dimension ref="A1:W61"/>
  <sheetViews>
    <sheetView workbookViewId="0">
      <selection activeCell="C3" sqref="C3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159</v>
      </c>
      <c r="B2" s="12" t="s">
        <v>52</v>
      </c>
      <c r="C2" s="10" t="s">
        <v>190</v>
      </c>
      <c r="D2" s="11">
        <v>14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TRISHbits.TRISH14</v>
      </c>
      <c r="J2" s="9" t="str">
        <f>IF($C2&lt;&gt;"","PORT"&amp;$C2&amp;"bits.R"&amp;$C2&amp;$D2,"N/A")</f>
        <v>PORTHbits.RH14</v>
      </c>
      <c r="K2" s="9" t="str">
        <f>IF($C2&lt;&gt;"","LAT"&amp;$C2&amp;"bits.LAT"&amp;$C2&amp;$D2,"N/A")</f>
        <v>LATHbits.LATH14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TRISHbits.TRISH14</v>
      </c>
      <c r="R2" s="9" t="str">
        <f t="shared" ref="R2:S20" si="1">IF(J2="N/A","//#define "&amp;$O2&amp;" "&amp;J2,"#define "&amp;$O2&amp;" "&amp;J2)</f>
        <v>#define PROBE_PIN PORTHbits.RH14</v>
      </c>
      <c r="S2" s="9" t="str">
        <f>IF(K2="N/A","//#define "&amp;$O2&amp;" "&amp;K2,"#define "&amp;$O2&amp;" "&amp;K2)</f>
        <v>#define PROBE_PIN LATHbits.LATH14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159</v>
      </c>
      <c r="B3" s="12" t="s">
        <v>76</v>
      </c>
      <c r="C3" s="10"/>
      <c r="D3" s="11"/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159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159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159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159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159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159</v>
      </c>
      <c r="B9" s="12" t="s">
        <v>5</v>
      </c>
      <c r="C9" s="10"/>
      <c r="D9" s="11"/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N/A</v>
      </c>
      <c r="J9" s="9" t="str">
        <f t="shared" si="4"/>
        <v>N/A</v>
      </c>
      <c r="K9" s="9" t="str">
        <f t="shared" si="5"/>
        <v>N/A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//#define SPINDLE_ENABLE_DDR N/A</v>
      </c>
      <c r="R9" s="9" t="str">
        <f t="shared" si="1"/>
        <v>//#define SPINDLE_ENABLE_PORT N/A</v>
      </c>
      <c r="S9" s="9" t="str">
        <f t="shared" si="1"/>
        <v>//#define SPINDLE_ENABLE_PORT N/A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159</v>
      </c>
      <c r="B10" s="12" t="s">
        <v>67</v>
      </c>
      <c r="C10" s="10"/>
      <c r="D10" s="11"/>
      <c r="E10" s="11">
        <v>1</v>
      </c>
      <c r="F10" s="11">
        <v>1</v>
      </c>
      <c r="G10" s="11"/>
      <c r="H10" s="11">
        <v>2</v>
      </c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159</v>
      </c>
      <c r="B11" s="12" t="s">
        <v>60</v>
      </c>
      <c r="C11" s="10" t="s">
        <v>190</v>
      </c>
      <c r="D11" s="11">
        <v>9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TRISHbits.TRISH9</v>
      </c>
      <c r="J11" s="9" t="str">
        <f t="shared" si="4"/>
        <v>PORTHbits.RH9</v>
      </c>
      <c r="K11" s="9" t="str">
        <f t="shared" si="5"/>
        <v>LATHbits.LATH9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TRISHbits.TRISH9</v>
      </c>
      <c r="R11" s="9" t="str">
        <f t="shared" si="1"/>
        <v>#define LIMIT_Z_PIN PORTHbits.RH9</v>
      </c>
      <c r="S11" s="9" t="str">
        <f t="shared" si="1"/>
        <v>#define LIMIT_Z_PIN LATHbits.LATH9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159</v>
      </c>
      <c r="B12" s="12" t="s">
        <v>61</v>
      </c>
      <c r="C12" s="10" t="s">
        <v>190</v>
      </c>
      <c r="D12" s="11">
        <v>8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TRISHbits.TRISH8</v>
      </c>
      <c r="J12" s="9" t="str">
        <f t="shared" si="4"/>
        <v>PORTHbits.RH8</v>
      </c>
      <c r="K12" s="9" t="str">
        <f t="shared" si="5"/>
        <v>LATHbits.LATH8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TRISHbits.TRISH8</v>
      </c>
      <c r="R12" s="9" t="str">
        <f t="shared" si="1"/>
        <v>#define LIMIT_Y_PIN PORTHbits.RH8</v>
      </c>
      <c r="S12" s="9" t="str">
        <f t="shared" si="1"/>
        <v>#define LIMIT_Y_PIN LATHbits.LATH8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159</v>
      </c>
      <c r="B13" s="12" t="s">
        <v>62</v>
      </c>
      <c r="C13" s="10" t="s">
        <v>190</v>
      </c>
      <c r="D13" s="11">
        <v>7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TRISHbits.TRISH7</v>
      </c>
      <c r="J13" s="9" t="str">
        <f t="shared" si="4"/>
        <v>PORTHbits.RH7</v>
      </c>
      <c r="K13" s="9" t="str">
        <f t="shared" si="5"/>
        <v>LATHbits.LATH7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TRISHbits.TRISH7</v>
      </c>
      <c r="R13" s="9" t="str">
        <f t="shared" si="1"/>
        <v>#define LIMIT_X_PIN PORTHbits.RH7</v>
      </c>
      <c r="S13" s="9" t="str">
        <f t="shared" si="1"/>
        <v>#define LIMIT_X_PIN LATHbits.LATH7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159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159</v>
      </c>
      <c r="B15" s="12" t="s">
        <v>7</v>
      </c>
      <c r="C15" s="10" t="s">
        <v>57</v>
      </c>
      <c r="D15" s="11">
        <v>0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TRISEbits.TRISE0</v>
      </c>
      <c r="J15" s="9" t="str">
        <f t="shared" si="4"/>
        <v>PORTEbits.RE0</v>
      </c>
      <c r="K15" s="9" t="str">
        <f t="shared" si="5"/>
        <v>LATEbits.LATE0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TRISEbits.TRISE0</v>
      </c>
      <c r="R15" s="9" t="str">
        <f t="shared" si="1"/>
        <v>#define DIRECTION_Z_PORT PORTEbits.RE0</v>
      </c>
      <c r="S15" s="9" t="str">
        <f t="shared" si="1"/>
        <v>#define DIRECTION_Z_PORT LATEbits.LATE0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159</v>
      </c>
      <c r="B16" s="12" t="s">
        <v>8</v>
      </c>
      <c r="C16" s="10" t="s">
        <v>57</v>
      </c>
      <c r="D16" s="11">
        <v>2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TRISEbits.TRISE2</v>
      </c>
      <c r="J16" s="9" t="str">
        <f t="shared" si="4"/>
        <v>PORTEbits.RE2</v>
      </c>
      <c r="K16" s="9" t="str">
        <f t="shared" si="5"/>
        <v>LATEbits.LATE2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TRISEbits.TRISE2</v>
      </c>
      <c r="R16" s="9" t="str">
        <f t="shared" si="1"/>
        <v>#define DIRECTION_Y_PORT PORTEbits.RE2</v>
      </c>
      <c r="S16" s="9" t="str">
        <f t="shared" si="1"/>
        <v>#define DIRECTION_Y_PORT LATEbits.LATE2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159</v>
      </c>
      <c r="B17" s="12" t="s">
        <v>9</v>
      </c>
      <c r="C17" s="10" t="s">
        <v>57</v>
      </c>
      <c r="D17" s="11">
        <v>4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TRISEbits.TRISE4</v>
      </c>
      <c r="J17" s="9" t="str">
        <f t="shared" si="4"/>
        <v>PORTEbits.RE4</v>
      </c>
      <c r="K17" s="9" t="str">
        <f t="shared" si="5"/>
        <v>LATEbits.LATE4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TRISEbits.TRISE4</v>
      </c>
      <c r="R17" s="9" t="str">
        <f t="shared" si="1"/>
        <v>#define DIRECTION_X_PORT PORTEbits.RE4</v>
      </c>
      <c r="S17" s="9" t="str">
        <f t="shared" si="1"/>
        <v>#define DIRECTION_X_PORT LATEbits.LATE4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159</v>
      </c>
      <c r="B18" s="12" t="s">
        <v>10</v>
      </c>
      <c r="C18" s="10" t="s">
        <v>57</v>
      </c>
      <c r="D18" s="11">
        <v>1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TRISEbits.TRISE1</v>
      </c>
      <c r="J18" s="9" t="str">
        <f t="shared" si="4"/>
        <v>PORTEbits.RE1</v>
      </c>
      <c r="K18" s="9" t="str">
        <f t="shared" si="5"/>
        <v>LATEbits.LATE1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TRISEbits.TRISE1</v>
      </c>
      <c r="R18" s="9" t="str">
        <f t="shared" si="1"/>
        <v>#define STEP_Z_PORT PORTEbits.RE1</v>
      </c>
      <c r="S18" s="9" t="str">
        <f t="shared" si="1"/>
        <v>#define STEP_Z_PORT LATEbits.LATE1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159</v>
      </c>
      <c r="B19" s="12" t="s">
        <v>11</v>
      </c>
      <c r="C19" s="10" t="s">
        <v>57</v>
      </c>
      <c r="D19" s="11">
        <v>3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TRISEbits.TRISE3</v>
      </c>
      <c r="J19" s="9" t="str">
        <f t="shared" si="4"/>
        <v>PORTEbits.RE3</v>
      </c>
      <c r="K19" s="9" t="str">
        <f t="shared" si="5"/>
        <v>LATEbits.LATE3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TRISEbits.TRISE3</v>
      </c>
      <c r="R19" s="9" t="str">
        <f t="shared" si="1"/>
        <v>#define STEP_Y_PORT PORTEbits.RE3</v>
      </c>
      <c r="S19" s="9" t="str">
        <f t="shared" si="1"/>
        <v>#define STEP_Y_PORT LATEbits.LATE3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159</v>
      </c>
      <c r="B20" s="12" t="s">
        <v>12</v>
      </c>
      <c r="C20" s="10" t="s">
        <v>57</v>
      </c>
      <c r="D20" s="11">
        <v>5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TRISEbits.TRISE5</v>
      </c>
      <c r="J20" s="9" t="str">
        <f t="shared" si="4"/>
        <v>PORTEbits.RE5</v>
      </c>
      <c r="K20" s="9" t="str">
        <f t="shared" si="5"/>
        <v>LATEbits.LATE5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TRISEbits.TRISE5</v>
      </c>
      <c r="R20" s="9" t="str">
        <f t="shared" si="1"/>
        <v>#define STEP_X_PORT PORTEbits.RE5</v>
      </c>
      <c r="S20" s="9" t="str">
        <f t="shared" si="1"/>
        <v>#define STEP_X_PORT LATEbits.LATE5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159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C4693-2D90-4527-B715-B0A5B5ACD403}">
  <sheetPr codeName="Tabelle6"/>
  <dimension ref="A2:A171"/>
  <sheetViews>
    <sheetView topLeftCell="A154" workbookViewId="0">
      <selection activeCell="A161" sqref="A161:XFD161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189</v>
      </c>
    </row>
    <row r="3" spans="1:1" x14ac:dyDescent="0.25">
      <c r="A3" t="s">
        <v>188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146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167</v>
      </c>
    </row>
    <row r="111" spans="1:1" x14ac:dyDescent="0.25">
      <c r="A111" t="s">
        <v>168</v>
      </c>
    </row>
    <row r="112" spans="1:1" x14ac:dyDescent="0.25">
      <c r="A112" t="s">
        <v>169</v>
      </c>
    </row>
    <row r="113" spans="1:1" x14ac:dyDescent="0.25">
      <c r="A113" t="s">
        <v>191</v>
      </c>
    </row>
    <row r="114" spans="1:1" x14ac:dyDescent="0.25">
      <c r="A114" t="s">
        <v>192</v>
      </c>
    </row>
    <row r="115" spans="1:1" x14ac:dyDescent="0.25">
      <c r="A115" t="s">
        <v>193</v>
      </c>
    </row>
    <row r="116" spans="1:1" x14ac:dyDescent="0.25">
      <c r="A116" t="s">
        <v>181</v>
      </c>
    </row>
    <row r="117" spans="1:1" x14ac:dyDescent="0.25">
      <c r="A117" t="s">
        <v>182</v>
      </c>
    </row>
    <row r="118" spans="1:1" x14ac:dyDescent="0.25">
      <c r="A118" t="s">
        <v>183</v>
      </c>
    </row>
    <row r="119" spans="1:1" x14ac:dyDescent="0.25">
      <c r="A119" t="s">
        <v>194</v>
      </c>
    </row>
    <row r="120" spans="1:1" x14ac:dyDescent="0.25">
      <c r="A120" t="s">
        <v>195</v>
      </c>
    </row>
    <row r="121" spans="1:1" x14ac:dyDescent="0.25">
      <c r="A121" t="s">
        <v>196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110</v>
      </c>
    </row>
    <row r="129" spans="1:1" x14ac:dyDescent="0.25">
      <c r="A129" t="s">
        <v>111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197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240</v>
      </c>
    </row>
    <row r="161" spans="1:1" x14ac:dyDescent="0.25">
      <c r="A161"/>
    </row>
    <row r="162" spans="1:1" x14ac:dyDescent="0.25">
      <c r="A162" t="s">
        <v>137</v>
      </c>
    </row>
    <row r="163" spans="1:1" x14ac:dyDescent="0.25">
      <c r="A163" t="s">
        <v>138</v>
      </c>
    </row>
    <row r="164" spans="1:1" x14ac:dyDescent="0.25">
      <c r="A164" t="s">
        <v>139</v>
      </c>
    </row>
    <row r="165" spans="1:1" x14ac:dyDescent="0.25">
      <c r="A165"/>
    </row>
    <row r="166" spans="1:1" x14ac:dyDescent="0.25">
      <c r="A166" t="s">
        <v>140</v>
      </c>
    </row>
    <row r="167" spans="1:1" x14ac:dyDescent="0.25">
      <c r="A167" t="s">
        <v>138</v>
      </c>
    </row>
    <row r="168" spans="1:1" x14ac:dyDescent="0.25">
      <c r="A168" t="s">
        <v>141</v>
      </c>
    </row>
    <row r="169" spans="1:1" x14ac:dyDescent="0.25">
      <c r="A169" t="s">
        <v>142</v>
      </c>
    </row>
    <row r="170" spans="1:1" x14ac:dyDescent="0.25">
      <c r="A170"/>
    </row>
    <row r="171" spans="1:1" x14ac:dyDescent="0.25">
      <c r="A171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PIC32_CodeGen_CNC_1_0_0_mz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EA40-AA05-44C4-B4D5-4F483C885E1D}">
  <sheetPr codeName="Sheet8"/>
  <dimension ref="A1:W61"/>
  <sheetViews>
    <sheetView workbookViewId="0">
      <selection activeCell="L21" sqref="L21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8.42578125" bestFit="1" customWidth="1"/>
    <col min="4" max="4" width="6.85546875" customWidth="1"/>
    <col min="5" max="5" width="11" bestFit="1" customWidth="1"/>
    <col min="6" max="6" width="9.42578125" bestFit="1" customWidth="1"/>
    <col min="7" max="7" width="8.5703125" bestFit="1" customWidth="1"/>
    <col min="8" max="8" width="8.5703125" customWidth="1"/>
    <col min="10" max="10" width="17" bestFit="1" customWidth="1"/>
    <col min="11" max="11" width="15.28515625" bestFit="1" customWidth="1"/>
    <col min="12" max="12" width="15.7109375" bestFit="1" customWidth="1"/>
    <col min="13" max="13" width="19.5703125" bestFit="1" customWidth="1"/>
    <col min="14" max="14" width="18.7109375" bestFit="1" customWidth="1"/>
    <col min="15" max="15" width="28.140625" bestFit="1" customWidth="1"/>
    <col min="16" max="16" width="27.5703125" bestFit="1" customWidth="1"/>
    <col min="18" max="18" width="50" bestFit="1" customWidth="1"/>
    <col min="19" max="19" width="47.85546875" bestFit="1" customWidth="1"/>
    <col min="20" max="20" width="47.85546875" customWidth="1"/>
    <col min="21" max="21" width="56.5703125" bestFit="1" customWidth="1"/>
    <col min="22" max="22" width="54.85546875" bestFit="1" customWidth="1"/>
    <col min="23" max="23" width="63" bestFit="1" customWidth="1"/>
  </cols>
  <sheetData>
    <row r="1" spans="1:23" x14ac:dyDescent="0.25">
      <c r="A1" t="s">
        <v>70</v>
      </c>
      <c r="B1" t="s">
        <v>0</v>
      </c>
      <c r="C1" t="s">
        <v>58</v>
      </c>
      <c r="D1" t="s">
        <v>59</v>
      </c>
      <c r="E1" t="s">
        <v>17</v>
      </c>
      <c r="F1" t="s">
        <v>18</v>
      </c>
      <c r="G1" t="s">
        <v>13</v>
      </c>
      <c r="H1" t="s">
        <v>71</v>
      </c>
      <c r="J1" t="s">
        <v>14</v>
      </c>
      <c r="K1" t="s">
        <v>15</v>
      </c>
      <c r="L1" t="s">
        <v>16</v>
      </c>
      <c r="M1" t="s">
        <v>66</v>
      </c>
      <c r="N1" t="s">
        <v>51</v>
      </c>
      <c r="O1" t="s">
        <v>30</v>
      </c>
      <c r="P1" t="s">
        <v>30</v>
      </c>
      <c r="R1" t="s">
        <v>14</v>
      </c>
      <c r="S1" t="s">
        <v>15</v>
      </c>
      <c r="T1" t="s">
        <v>16</v>
      </c>
      <c r="U1" t="s">
        <v>66</v>
      </c>
      <c r="V1" t="s">
        <v>51</v>
      </c>
      <c r="W1" t="s">
        <v>71</v>
      </c>
    </row>
    <row r="2" spans="1:23" x14ac:dyDescent="0.25">
      <c r="A2" t="s">
        <v>72</v>
      </c>
      <c r="B2" s="2" t="s">
        <v>52</v>
      </c>
      <c r="C2" s="1"/>
      <c r="D2" s="1"/>
      <c r="E2" s="1"/>
      <c r="F2" s="1"/>
      <c r="G2" s="1" t="str">
        <f>IF(ISERROR(VLOOKUP(B2,#REF!,5,FALSE))=TRUE,"",IF(VLOOKUP(B2,#REF!,5,FALSE)=0,"",VLOOKUP(B2,#REF!,5,FALSE)))</f>
        <v/>
      </c>
      <c r="H2" s="1" t="str">
        <f>IF(ISERROR(VLOOKUP(B2,#REF!,6,FALSE))=TRUE,"",IF(VLOOKUP(B2,#REF!,6,FALSE)="","",VLOOKUP(B2,#REF!,6,FALSE)))</f>
        <v/>
      </c>
      <c r="I2" s="1"/>
      <c r="J2" t="str">
        <f t="shared" ref="J2:J13" si="0">IF($E2&lt;&gt;"","TRIS"&amp;$E2&amp;"bits.TRIS"&amp;$E2&amp;$F2,"N/A")</f>
        <v>N/A</v>
      </c>
      <c r="K2" t="str">
        <f t="shared" ref="K2:K13" si="1">IF($E2&lt;&gt;"","PORT"&amp;$E2&amp;"bits.R"&amp;$E2&amp;$F2,"N/A")</f>
        <v>N/A</v>
      </c>
      <c r="L2" t="str">
        <f t="shared" ref="L2:L13" si="2">IF($E2&lt;&gt;"","LAT"&amp;$E2&amp;"bits.LAT"&amp;$E2&amp;$F2,"N/A")</f>
        <v>N/A</v>
      </c>
      <c r="M2" t="str">
        <f>IF($G2&lt;&gt;"","CNPUEbits.CNPUE"&amp;$G2,"N/A")</f>
        <v>N/A</v>
      </c>
      <c r="N2" t="str">
        <f>IF($G2&lt;&gt;"","CNENbits.CNEN"&amp;$G2,"N/A")</f>
        <v>N/A</v>
      </c>
      <c r="O2" t="s">
        <v>53</v>
      </c>
      <c r="P2" t="s">
        <v>54</v>
      </c>
      <c r="R2" t="str">
        <f t="shared" ref="R2:R20" si="3">IF(J2="N/A","//#define "&amp;$O2&amp;" "&amp;$J2,"#define "&amp;$O2&amp;" "&amp;$J2)</f>
        <v>//#define PROBE_TRIS N/A</v>
      </c>
      <c r="S2" t="str">
        <f t="shared" ref="S2:T20" si="4">IF(K2="N/A","//#define "&amp;$P2&amp;" "&amp;K2,"#define "&amp;$P2&amp;" "&amp;K2)</f>
        <v>//#define PROBE_PIN N/A</v>
      </c>
      <c r="T2" t="str">
        <f>IF(L2="N/A","//#define "&amp;$P2&amp;" "&amp;L2,"#define "&amp;$P2&amp;" "&amp;L2)</f>
        <v>//#define PROBE_PIN N/A</v>
      </c>
      <c r="U2" t="str">
        <f>IF(M2="N/A","//#define "&amp;$P2&amp;"_PUE N/A","#define "&amp;$P2&amp;"_PUE "&amp;M2)</f>
        <v>//#define PROBE_PIN_PUE N/A</v>
      </c>
      <c r="V2" t="str">
        <f>IF(N2="N/A","//#define "&amp;$P2&amp;"_CN N/A","#define "&amp;$P2&amp;"_CN "&amp;N2)</f>
        <v>//#define PROBE_PIN_CN N/A</v>
      </c>
      <c r="W2" t="str">
        <f t="shared" ref="W2:W21" si="5">IF(H2="","//#define VARIABLE_SPINDLE_OC "&amp;H2,"#define VARIABLE_SPINDLE_OC "&amp;H2)</f>
        <v xml:space="preserve">//#define VARIABLE_SPINDLE_OC </v>
      </c>
    </row>
    <row r="3" spans="1:23" x14ac:dyDescent="0.25">
      <c r="A3" t="s">
        <v>72</v>
      </c>
      <c r="B3" s="7" t="s">
        <v>76</v>
      </c>
      <c r="C3" s="1"/>
      <c r="D3" s="1"/>
      <c r="E3" s="1"/>
      <c r="F3" s="1"/>
      <c r="G3" s="1"/>
      <c r="H3" s="1" t="str">
        <f>IF(ISERROR(VLOOKUP(B3,#REF!,6,FALSE))=TRUE,"",IF(VLOOKUP(B3,#REF!,6,FALSE)="","",VLOOKUP(B3,#REF!,6,FALSE)))</f>
        <v/>
      </c>
      <c r="I3" s="1"/>
      <c r="J3" t="str">
        <f t="shared" si="0"/>
        <v>N/A</v>
      </c>
      <c r="K3" t="str">
        <f t="shared" si="1"/>
        <v>N/A</v>
      </c>
      <c r="L3" t="str">
        <f t="shared" si="2"/>
        <v>N/A</v>
      </c>
      <c r="M3" t="str">
        <f>IF($G3&lt;&gt;"","CNPUEbits.CNPUE"&amp;$G3,"N/A")</f>
        <v>N/A</v>
      </c>
      <c r="N3" t="str">
        <f>IF($G3&lt;&gt;"","CNENbits.CNEN"&amp;$G3,"N/A")</f>
        <v>N/A</v>
      </c>
      <c r="O3" t="s">
        <v>77</v>
      </c>
      <c r="P3" t="s">
        <v>78</v>
      </c>
      <c r="R3" t="str">
        <f t="shared" si="3"/>
        <v>//#define CONTROL_ABORT_DDR N/A</v>
      </c>
      <c r="S3" t="str">
        <f t="shared" si="4"/>
        <v>//#define CONTROL_ABORT_PIN N/A</v>
      </c>
      <c r="T3" t="str">
        <f t="shared" si="4"/>
        <v>//#define CONTROL_ABORT_PIN N/A</v>
      </c>
      <c r="U3" t="str">
        <f t="shared" ref="U3:U21" si="6">IF(M3="N/A","//#define "&amp;$P3&amp;"_PUE N/A","#define "&amp;$P3&amp;"_PUE "&amp;M3)</f>
        <v>//#define CONTROL_ABORT_PIN_PUE N/A</v>
      </c>
      <c r="V3" t="str">
        <f t="shared" ref="V3:V21" si="7">IF(N3="N/A","//#define "&amp;$P3&amp;"_CN N/A","#define "&amp;$P3&amp;"_CN "&amp;N3)</f>
        <v>//#define CONTROL_ABORT_PIN_CN N/A</v>
      </c>
      <c r="W3" t="str">
        <f t="shared" si="5"/>
        <v xml:space="preserve">//#define VARIABLE_SPINDLE_OC </v>
      </c>
    </row>
    <row r="4" spans="1:23" x14ac:dyDescent="0.25">
      <c r="A4" t="s">
        <v>72</v>
      </c>
      <c r="B4" s="2" t="s">
        <v>1</v>
      </c>
      <c r="C4" s="1"/>
      <c r="D4" s="1" t="str">
        <f>IF(ISERROR(VLOOKUP(B4,#REF!,2,FALSE))=TRUE,"",VLOOKUP(B4,#REF!,2,FALSE))</f>
        <v/>
      </c>
      <c r="E4" s="1" t="str">
        <f>IF(ISERROR(VLOOKUP(B4,#REF!,3,FALSE))=TRUE,"",VLOOKUP(B4,#REF!,3,FALSE))</f>
        <v/>
      </c>
      <c r="F4" s="1" t="str">
        <f>IF(ISERROR(VLOOKUP(B4,#REF!,4,FALSE))=TRUE,"",VLOOKUP(B4,#REF!,4,FALSE))</f>
        <v/>
      </c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s="1"/>
      <c r="J4" t="str">
        <f t="shared" si="0"/>
        <v>N/A</v>
      </c>
      <c r="K4" t="str">
        <f t="shared" si="1"/>
        <v>N/A</v>
      </c>
      <c r="L4" t="str">
        <f t="shared" si="2"/>
        <v>N/A</v>
      </c>
      <c r="M4" t="str">
        <f t="shared" ref="M4:M21" si="8">IF($G4&lt;&gt;"","CNPUEbits.CNPUE"&amp;$G4,"N/A")</f>
        <v>N/A</v>
      </c>
      <c r="N4" t="str">
        <f t="shared" ref="N4:N21" si="9">IF($G4&lt;&gt;"","CNENbits.CNEN"&amp;$G4,"N/A")</f>
        <v>N/A</v>
      </c>
      <c r="O4" t="s">
        <v>45</v>
      </c>
      <c r="P4" t="s">
        <v>48</v>
      </c>
      <c r="R4" t="str">
        <f t="shared" si="3"/>
        <v>//#define CONTROL_FEED_HOLD_DDR N/A</v>
      </c>
      <c r="S4" t="str">
        <f t="shared" si="4"/>
        <v>//#define CONTROL_FEED_HOLD_PIN N/A</v>
      </c>
      <c r="T4" t="str">
        <f t="shared" si="4"/>
        <v>//#define CONTROL_FEED_HOLD_PIN N/A</v>
      </c>
      <c r="U4" t="str">
        <f t="shared" si="6"/>
        <v>//#define CONTROL_FEED_HOLD_PIN_PUE N/A</v>
      </c>
      <c r="V4" t="str">
        <f t="shared" si="7"/>
        <v>//#define CONTROL_FEED_HOLD_PIN_CN N/A</v>
      </c>
      <c r="W4" t="str">
        <f t="shared" si="5"/>
        <v xml:space="preserve">//#define VARIABLE_SPINDLE_OC </v>
      </c>
    </row>
    <row r="5" spans="1:23" x14ac:dyDescent="0.25">
      <c r="A5" t="s">
        <v>72</v>
      </c>
      <c r="B5" s="2" t="s">
        <v>2</v>
      </c>
      <c r="C5" s="1"/>
      <c r="D5" s="1" t="str">
        <f>IF(ISERROR(VLOOKUP(B5,#REF!,2,FALSE))=TRUE,"",VLOOKUP(B5,#REF!,2,FALSE))</f>
        <v/>
      </c>
      <c r="E5" s="1" t="str">
        <f>IF(ISERROR(VLOOKUP(B5,#REF!,3,FALSE))=TRUE,"",VLOOKUP(B5,#REF!,3,FALSE))</f>
        <v/>
      </c>
      <c r="F5" s="1" t="str">
        <f>IF(ISERROR(VLOOKUP(B5,#REF!,4,FALSE))=TRUE,"",VLOOKUP(B5,#REF!,4,FALSE))</f>
        <v/>
      </c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s="1"/>
      <c r="J5" t="str">
        <f t="shared" si="0"/>
        <v>N/A</v>
      </c>
      <c r="K5" t="str">
        <f t="shared" si="1"/>
        <v>N/A</v>
      </c>
      <c r="L5" t="str">
        <f t="shared" si="2"/>
        <v>N/A</v>
      </c>
      <c r="M5" t="str">
        <f t="shared" si="8"/>
        <v>N/A</v>
      </c>
      <c r="N5" t="str">
        <f t="shared" si="9"/>
        <v>N/A</v>
      </c>
      <c r="O5" t="s">
        <v>46</v>
      </c>
      <c r="P5" t="s">
        <v>49</v>
      </c>
      <c r="R5" t="str">
        <f t="shared" si="3"/>
        <v>//#define CONTROL_CYCLE_START_DDR N/A</v>
      </c>
      <c r="S5" t="str">
        <f t="shared" si="4"/>
        <v>//#define CONTROL_CYCLE_START_PIN N/A</v>
      </c>
      <c r="T5" t="str">
        <f t="shared" si="4"/>
        <v>//#define CONTROL_CYCLE_START_PIN N/A</v>
      </c>
      <c r="U5" t="str">
        <f t="shared" si="6"/>
        <v>//#define CONTROL_CYCLE_START_PIN_PUE N/A</v>
      </c>
      <c r="V5" t="str">
        <f t="shared" si="7"/>
        <v>//#define CONTROL_CYCLE_START_PIN_CN N/A</v>
      </c>
      <c r="W5" t="str">
        <f t="shared" si="5"/>
        <v xml:space="preserve">//#define VARIABLE_SPINDLE_OC </v>
      </c>
    </row>
    <row r="6" spans="1:23" x14ac:dyDescent="0.25">
      <c r="A6" t="s">
        <v>72</v>
      </c>
      <c r="B6" s="2" t="s">
        <v>56</v>
      </c>
      <c r="C6" s="1"/>
      <c r="D6" s="1" t="str">
        <f>IF(ISERROR(VLOOKUP(B6,#REF!,2,FALSE))=TRUE,"",VLOOKUP(B6,#REF!,2,FALSE))</f>
        <v/>
      </c>
      <c r="E6" s="1" t="str">
        <f>IF(ISERROR(VLOOKUP(B6,#REF!,3,FALSE))=TRUE,"",VLOOKUP(B6,#REF!,3,FALSE))</f>
        <v/>
      </c>
      <c r="F6" s="1" t="str">
        <f>IF(ISERROR(VLOOKUP(B6,#REF!,4,FALSE))=TRUE,"",VLOOKUP(B6,#REF!,4,FALSE))</f>
        <v/>
      </c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s="1"/>
      <c r="J6" t="str">
        <f t="shared" si="0"/>
        <v>N/A</v>
      </c>
      <c r="K6" t="str">
        <f t="shared" si="1"/>
        <v>N/A</v>
      </c>
      <c r="L6" t="str">
        <f t="shared" si="2"/>
        <v>N/A</v>
      </c>
      <c r="M6" t="str">
        <f t="shared" si="8"/>
        <v>N/A</v>
      </c>
      <c r="N6" t="str">
        <f t="shared" si="9"/>
        <v>N/A</v>
      </c>
      <c r="O6" t="s">
        <v>47</v>
      </c>
      <c r="P6" t="s">
        <v>50</v>
      </c>
      <c r="R6" t="str">
        <f t="shared" si="3"/>
        <v>//#define CONTROL_SAFETY_DOOR_DDR N/A</v>
      </c>
      <c r="S6" t="str">
        <f t="shared" si="4"/>
        <v>//#define CONTROL_SAFETY_DOOR_PIN N/A</v>
      </c>
      <c r="T6" t="str">
        <f t="shared" si="4"/>
        <v>//#define CONTROL_SAFETY_DOOR_PIN N/A</v>
      </c>
      <c r="U6" t="str">
        <f t="shared" si="6"/>
        <v>//#define CONTROL_SAFETY_DOOR_PIN_PUE N/A</v>
      </c>
      <c r="V6" t="str">
        <f t="shared" si="7"/>
        <v>//#define CONTROL_SAFETY_DOOR_PIN_CN N/A</v>
      </c>
      <c r="W6" t="str">
        <f t="shared" si="5"/>
        <v xml:space="preserve">//#define VARIABLE_SPINDLE_OC </v>
      </c>
    </row>
    <row r="7" spans="1:23" x14ac:dyDescent="0.25">
      <c r="A7" t="s">
        <v>72</v>
      </c>
      <c r="B7" t="s">
        <v>3</v>
      </c>
      <c r="C7" s="1"/>
      <c r="D7" s="1" t="str">
        <f>IF(ISERROR(VLOOKUP(B7,#REF!,2,FALSE))=TRUE,"",VLOOKUP(B7,#REF!,2,FALSE))</f>
        <v/>
      </c>
      <c r="E7" s="1" t="str">
        <f>IF(ISERROR(VLOOKUP(B7,#REF!,3,FALSE))=TRUE,"",VLOOKUP(B7,#REF!,3,FALSE))</f>
        <v/>
      </c>
      <c r="F7" s="1" t="str">
        <f>IF(ISERROR(VLOOKUP(B7,#REF!,4,FALSE))=TRUE,"",VLOOKUP(B7,#REF!,4,FALSE))</f>
        <v/>
      </c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s="1"/>
      <c r="J7" t="str">
        <f t="shared" si="0"/>
        <v>N/A</v>
      </c>
      <c r="K7" t="str">
        <f t="shared" si="1"/>
        <v>N/A</v>
      </c>
      <c r="L7" t="str">
        <f t="shared" si="2"/>
        <v>N/A</v>
      </c>
      <c r="M7" t="str">
        <f t="shared" si="8"/>
        <v>N/A</v>
      </c>
      <c r="N7" t="str">
        <f t="shared" si="9"/>
        <v>N/A</v>
      </c>
      <c r="O7" t="s">
        <v>43</v>
      </c>
      <c r="P7" t="s">
        <v>44</v>
      </c>
      <c r="R7" t="str">
        <f t="shared" si="3"/>
        <v>//#define COOLANT_FLOOD_DDR N/A</v>
      </c>
      <c r="S7" t="str">
        <f t="shared" si="4"/>
        <v>//#define COOLANT_FLOOD_PORT N/A</v>
      </c>
      <c r="T7" t="str">
        <f t="shared" si="4"/>
        <v>//#define COOLANT_FLOOD_PORT N/A</v>
      </c>
      <c r="U7" t="str">
        <f t="shared" si="6"/>
        <v>//#define COOLANT_FLOOD_PORT_PUE N/A</v>
      </c>
      <c r="V7" t="str">
        <f t="shared" si="7"/>
        <v>//#define COOLANT_FLOOD_PORT_CN N/A</v>
      </c>
      <c r="W7" t="str">
        <f t="shared" si="5"/>
        <v xml:space="preserve">//#define VARIABLE_SPINDLE_OC </v>
      </c>
    </row>
    <row r="8" spans="1:23" x14ac:dyDescent="0.25">
      <c r="A8" t="s">
        <v>72</v>
      </c>
      <c r="B8" t="s">
        <v>4</v>
      </c>
      <c r="C8" s="1"/>
      <c r="D8" s="1" t="str">
        <f>IF(ISERROR(VLOOKUP(B8,#REF!,2,FALSE))=TRUE,"",VLOOKUP(B8,#REF!,2,FALSE))</f>
        <v/>
      </c>
      <c r="E8" s="1" t="str">
        <f>IF(ISERROR(VLOOKUP(B8,#REF!,3,FALSE))=TRUE,"",VLOOKUP(B8,#REF!,3,FALSE))</f>
        <v/>
      </c>
      <c r="F8" s="1" t="str">
        <f>IF(ISERROR(VLOOKUP(B8,#REF!,4,FALSE))=TRUE,"",VLOOKUP(B8,#REF!,4,FALSE))</f>
        <v/>
      </c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s="1"/>
      <c r="J8" t="str">
        <f t="shared" si="0"/>
        <v>N/A</v>
      </c>
      <c r="K8" t="str">
        <f t="shared" si="1"/>
        <v>N/A</v>
      </c>
      <c r="L8" t="str">
        <f t="shared" si="2"/>
        <v>N/A</v>
      </c>
      <c r="M8" t="str">
        <f t="shared" si="8"/>
        <v>N/A</v>
      </c>
      <c r="N8" t="str">
        <f t="shared" si="9"/>
        <v>N/A</v>
      </c>
      <c r="O8" t="s">
        <v>41</v>
      </c>
      <c r="P8" t="s">
        <v>42</v>
      </c>
      <c r="R8" t="str">
        <f t="shared" si="3"/>
        <v>//#define SPINDLE_DIRECTION_DDR N/A</v>
      </c>
      <c r="S8" t="str">
        <f t="shared" si="4"/>
        <v>//#define SPINDLE_DIRECTION_PORT N/A</v>
      </c>
      <c r="T8" t="str">
        <f t="shared" si="4"/>
        <v>//#define SPINDLE_DIRECTION_PORT N/A</v>
      </c>
      <c r="U8" t="str">
        <f t="shared" si="6"/>
        <v>//#define SPINDLE_DIRECTION_PORT_PUE N/A</v>
      </c>
      <c r="V8" t="str">
        <f t="shared" si="7"/>
        <v>//#define SPINDLE_DIRECTION_PORT_CN N/A</v>
      </c>
      <c r="W8" t="str">
        <f t="shared" si="5"/>
        <v xml:space="preserve">//#define VARIABLE_SPINDLE_OC </v>
      </c>
    </row>
    <row r="9" spans="1:23" x14ac:dyDescent="0.25">
      <c r="A9" t="s">
        <v>72</v>
      </c>
      <c r="B9" t="s">
        <v>5</v>
      </c>
      <c r="C9" s="1"/>
      <c r="D9" s="1"/>
      <c r="E9" s="1"/>
      <c r="F9" s="1"/>
      <c r="G9" s="1" t="str">
        <f>IF(ISERROR(VLOOKUP(B9,#REF!,5,FALSE))=TRUE,"",IF(VLOOKUP(B9,#REF!,5,FALSE)=0,"",VLOOKUP(B9,#REF!,5,FALSE)))</f>
        <v/>
      </c>
      <c r="H9" s="1"/>
      <c r="I9" s="1"/>
      <c r="J9" t="str">
        <f t="shared" si="0"/>
        <v>N/A</v>
      </c>
      <c r="K9" t="str">
        <f t="shared" si="1"/>
        <v>N/A</v>
      </c>
      <c r="L9" t="str">
        <f t="shared" si="2"/>
        <v>N/A</v>
      </c>
      <c r="M9" t="str">
        <f t="shared" si="8"/>
        <v>N/A</v>
      </c>
      <c r="N9" t="str">
        <f t="shared" si="9"/>
        <v>N/A</v>
      </c>
      <c r="O9" t="s">
        <v>39</v>
      </c>
      <c r="P9" t="s">
        <v>40</v>
      </c>
      <c r="R9" t="str">
        <f t="shared" si="3"/>
        <v>//#define SPINDLE_ENABLE_DDR N/A</v>
      </c>
      <c r="S9" t="str">
        <f t="shared" si="4"/>
        <v>//#define SPINDLE_ENABLE_PORT N/A</v>
      </c>
      <c r="T9" t="str">
        <f t="shared" si="4"/>
        <v>//#define SPINDLE_ENABLE_PORT N/A</v>
      </c>
      <c r="U9" t="str">
        <f t="shared" si="6"/>
        <v>//#define SPINDLE_ENABLE_PORT_PUE N/A</v>
      </c>
      <c r="V9" t="str">
        <f t="shared" si="7"/>
        <v>//#define SPINDLE_ENABLE_PORT_CN N/A</v>
      </c>
      <c r="W9" t="str">
        <f t="shared" si="5"/>
        <v xml:space="preserve">//#define VARIABLE_SPINDLE_OC </v>
      </c>
    </row>
    <row r="10" spans="1:23" x14ac:dyDescent="0.25">
      <c r="A10" t="s">
        <v>72</v>
      </c>
      <c r="B10" t="s">
        <v>67</v>
      </c>
      <c r="C10" s="1"/>
      <c r="D10" s="1"/>
      <c r="E10" s="1"/>
      <c r="F10" s="1"/>
      <c r="G10" s="1"/>
      <c r="H10" s="1"/>
      <c r="I10" s="1"/>
      <c r="J10" t="str">
        <f t="shared" si="0"/>
        <v>N/A</v>
      </c>
      <c r="K10" t="str">
        <f t="shared" si="1"/>
        <v>N/A</v>
      </c>
      <c r="L10" t="str">
        <f t="shared" si="2"/>
        <v>N/A</v>
      </c>
      <c r="M10" t="str">
        <f t="shared" si="8"/>
        <v>N/A</v>
      </c>
      <c r="N10" t="str">
        <f t="shared" si="9"/>
        <v>N/A</v>
      </c>
      <c r="O10" t="s">
        <v>68</v>
      </c>
      <c r="P10" t="s">
        <v>69</v>
      </c>
      <c r="R10" t="str">
        <f t="shared" si="3"/>
        <v>//#define SPINDLE_PWM_DDR N/A</v>
      </c>
      <c r="S10" t="str">
        <f t="shared" si="4"/>
        <v>//#define SPINDLE_PWM_PORT N/A</v>
      </c>
      <c r="T10" t="str">
        <f t="shared" si="4"/>
        <v>//#define SPINDLE_PWM_PORT N/A</v>
      </c>
      <c r="U10" t="str">
        <f t="shared" si="6"/>
        <v>//#define SPINDLE_PWM_PORT_PUE N/A</v>
      </c>
      <c r="V10" t="str">
        <f t="shared" si="7"/>
        <v>//#define SPINDLE_PWM_PORT_CN N/A</v>
      </c>
      <c r="W10" t="str">
        <f t="shared" si="5"/>
        <v xml:space="preserve">//#define VARIABLE_SPINDLE_OC </v>
      </c>
    </row>
    <row r="11" spans="1:23" x14ac:dyDescent="0.25">
      <c r="A11" t="s">
        <v>72</v>
      </c>
      <c r="B11" s="3" t="s">
        <v>60</v>
      </c>
      <c r="C11" s="1"/>
      <c r="D11" s="1"/>
      <c r="E11" s="1"/>
      <c r="F11" s="1"/>
      <c r="G11" s="1"/>
      <c r="H11" s="1" t="str">
        <f>IF(ISERROR(VLOOKUP(B11,#REF!,6,FALSE))=TRUE,"",IF(VLOOKUP(B11,#REF!,6,FALSE)="","",VLOOKUP(B11,#REF!,6,FALSE)))</f>
        <v/>
      </c>
      <c r="I11" s="1"/>
      <c r="J11" t="str">
        <f t="shared" si="0"/>
        <v>N/A</v>
      </c>
      <c r="K11" t="str">
        <f t="shared" si="1"/>
        <v>N/A</v>
      </c>
      <c r="L11" t="str">
        <f t="shared" si="2"/>
        <v>N/A</v>
      </c>
      <c r="M11" t="str">
        <f t="shared" si="8"/>
        <v>N/A</v>
      </c>
      <c r="N11" t="str">
        <f t="shared" si="9"/>
        <v>N/A</v>
      </c>
      <c r="O11" t="s">
        <v>35</v>
      </c>
      <c r="P11" t="s">
        <v>38</v>
      </c>
      <c r="R11" t="str">
        <f t="shared" si="3"/>
        <v>//#define LIMIT_Z_DDR N/A</v>
      </c>
      <c r="S11" t="str">
        <f t="shared" si="4"/>
        <v>//#define LIMIT_Z_PIN N/A</v>
      </c>
      <c r="T11" t="str">
        <f t="shared" si="4"/>
        <v>//#define LIMIT_Z_PIN N/A</v>
      </c>
      <c r="U11" t="str">
        <f t="shared" si="6"/>
        <v>//#define LIMIT_Z_PIN_PUE N/A</v>
      </c>
      <c r="V11" t="str">
        <f t="shared" si="7"/>
        <v>//#define LIMIT_Z_PIN_CN N/A</v>
      </c>
      <c r="W11" t="str">
        <f t="shared" si="5"/>
        <v xml:space="preserve">//#define VARIABLE_SPINDLE_OC </v>
      </c>
    </row>
    <row r="12" spans="1:23" x14ac:dyDescent="0.25">
      <c r="A12" t="s">
        <v>72</v>
      </c>
      <c r="B12" s="3" t="s">
        <v>61</v>
      </c>
      <c r="C12" s="1"/>
      <c r="D12" s="1"/>
      <c r="E12" s="1"/>
      <c r="F12" s="1"/>
      <c r="G12" s="1"/>
      <c r="H12" s="1" t="str">
        <f>IF(ISERROR(VLOOKUP(B12,#REF!,6,FALSE))=TRUE,"",IF(VLOOKUP(B12,#REF!,6,FALSE)="","",VLOOKUP(B12,#REF!,6,FALSE)))</f>
        <v/>
      </c>
      <c r="I12" s="1"/>
      <c r="J12" t="str">
        <f t="shared" si="0"/>
        <v>N/A</v>
      </c>
      <c r="K12" t="str">
        <f t="shared" si="1"/>
        <v>N/A</v>
      </c>
      <c r="L12" t="str">
        <f t="shared" si="2"/>
        <v>N/A</v>
      </c>
      <c r="M12" t="str">
        <f t="shared" si="8"/>
        <v>N/A</v>
      </c>
      <c r="N12" t="str">
        <f t="shared" si="9"/>
        <v>N/A</v>
      </c>
      <c r="O12" t="s">
        <v>34</v>
      </c>
      <c r="P12" t="s">
        <v>37</v>
      </c>
      <c r="R12" t="str">
        <f t="shared" si="3"/>
        <v>//#define LIMIT_Y_DDR N/A</v>
      </c>
      <c r="S12" t="str">
        <f t="shared" si="4"/>
        <v>//#define LIMIT_Y_PIN N/A</v>
      </c>
      <c r="T12" t="str">
        <f t="shared" si="4"/>
        <v>//#define LIMIT_Y_PIN N/A</v>
      </c>
      <c r="U12" t="str">
        <f t="shared" si="6"/>
        <v>//#define LIMIT_Y_PIN_PUE N/A</v>
      </c>
      <c r="V12" t="str">
        <f t="shared" si="7"/>
        <v>//#define LIMIT_Y_PIN_CN N/A</v>
      </c>
      <c r="W12" t="str">
        <f t="shared" si="5"/>
        <v xml:space="preserve">//#define VARIABLE_SPINDLE_OC </v>
      </c>
    </row>
    <row r="13" spans="1:23" x14ac:dyDescent="0.25">
      <c r="A13" t="s">
        <v>72</v>
      </c>
      <c r="B13" s="3" t="s">
        <v>62</v>
      </c>
      <c r="C13" s="1"/>
      <c r="D13" s="1"/>
      <c r="E13" s="1"/>
      <c r="F13" s="1"/>
      <c r="G13" s="1"/>
      <c r="H13" s="1" t="str">
        <f>IF(ISERROR(VLOOKUP(B13,#REF!,6,FALSE))=TRUE,"",IF(VLOOKUP(B13,#REF!,6,FALSE)="","",VLOOKUP(B13,#REF!,6,FALSE)))</f>
        <v/>
      </c>
      <c r="I13" s="1"/>
      <c r="J13" t="str">
        <f t="shared" si="0"/>
        <v>N/A</v>
      </c>
      <c r="K13" t="str">
        <f t="shared" si="1"/>
        <v>N/A</v>
      </c>
      <c r="L13" t="str">
        <f t="shared" si="2"/>
        <v>N/A</v>
      </c>
      <c r="M13" t="str">
        <f t="shared" si="8"/>
        <v>N/A</v>
      </c>
      <c r="N13" t="str">
        <f t="shared" si="9"/>
        <v>N/A</v>
      </c>
      <c r="O13" t="s">
        <v>33</v>
      </c>
      <c r="P13" t="s">
        <v>36</v>
      </c>
      <c r="R13" t="str">
        <f t="shared" si="3"/>
        <v>//#define LIMIT_X_DDR N/A</v>
      </c>
      <c r="S13" t="str">
        <f t="shared" si="4"/>
        <v>//#define LIMIT_X_PIN N/A</v>
      </c>
      <c r="T13" t="str">
        <f t="shared" si="4"/>
        <v>//#define LIMIT_X_PIN N/A</v>
      </c>
      <c r="U13" t="str">
        <f t="shared" si="6"/>
        <v>//#define LIMIT_X_PIN_PUE N/A</v>
      </c>
      <c r="V13" t="str">
        <f t="shared" si="7"/>
        <v>//#define LIMIT_X_PIN_CN N/A</v>
      </c>
      <c r="W13" t="str">
        <f t="shared" si="5"/>
        <v xml:space="preserve">//#define VARIABLE_SPINDLE_OC </v>
      </c>
    </row>
    <row r="14" spans="1:23" x14ac:dyDescent="0.25">
      <c r="A14" t="s">
        <v>72</v>
      </c>
      <c r="B14" t="s">
        <v>6</v>
      </c>
      <c r="C14" s="1"/>
      <c r="D14" s="1"/>
      <c r="E14" s="1"/>
      <c r="F14" s="1"/>
      <c r="G14" s="1" t="str">
        <f>IF(ISERROR(VLOOKUP(B14,#REF!,5,FALSE))=TRUE,"",IF(VLOOKUP(B14,#REF!,5,FALSE)=0,"",VLOOKUP(B14,#REF!,5,FALSE)))</f>
        <v/>
      </c>
      <c r="H14" s="1" t="str">
        <f>IF(ISERROR(VLOOKUP(B14,#REF!,6,FALSE))=TRUE,"",IF(VLOOKUP(B14,#REF!,6,FALSE)="","",VLOOKUP(B14,#REF!,6,FALSE)))</f>
        <v/>
      </c>
      <c r="I14" s="1"/>
      <c r="J14" t="s">
        <v>198</v>
      </c>
      <c r="K14" t="s">
        <v>205</v>
      </c>
      <c r="L14" t="s">
        <v>212</v>
      </c>
      <c r="M14" t="str">
        <f t="shared" si="8"/>
        <v>N/A</v>
      </c>
      <c r="N14" t="str">
        <f t="shared" si="9"/>
        <v>N/A</v>
      </c>
      <c r="O14" t="s">
        <v>31</v>
      </c>
      <c r="P14" t="s">
        <v>32</v>
      </c>
      <c r="R14" t="str">
        <f t="shared" si="3"/>
        <v>#define STEPPERS_DISABLE_DDR dummyTRIS1</v>
      </c>
      <c r="S14" t="str">
        <f t="shared" si="4"/>
        <v>#define STEPPERS_DISABLE_PORT dummyPORT1</v>
      </c>
      <c r="T14" t="str">
        <f t="shared" si="4"/>
        <v>#define STEPPERS_DISABLE_PORT dummyLAT1</v>
      </c>
      <c r="U14" t="str">
        <f t="shared" si="6"/>
        <v>//#define STEPPERS_DISABLE_PORT_PUE N/A</v>
      </c>
      <c r="V14" t="str">
        <f t="shared" si="7"/>
        <v>//#define STEPPERS_DISABLE_PORT_CN N/A</v>
      </c>
      <c r="W14" t="str">
        <f t="shared" si="5"/>
        <v xml:space="preserve">//#define VARIABLE_SPINDLE_OC </v>
      </c>
    </row>
    <row r="15" spans="1:23" x14ac:dyDescent="0.25">
      <c r="A15" t="s">
        <v>72</v>
      </c>
      <c r="B15" t="s">
        <v>7</v>
      </c>
      <c r="C15" s="1"/>
      <c r="D15" s="1"/>
      <c r="E15" s="1"/>
      <c r="F15" s="1"/>
      <c r="G15" s="1" t="str">
        <f>IF(ISERROR(VLOOKUP(B15,#REF!,5,FALSE))=TRUE,"",IF(VLOOKUP(B15,#REF!,5,FALSE)=0,"",VLOOKUP(B15,#REF!,5,FALSE)))</f>
        <v/>
      </c>
      <c r="H15" s="1" t="str">
        <f>IF(ISERROR(VLOOKUP(B15,#REF!,6,FALSE))=TRUE,"",IF(VLOOKUP(B15,#REF!,6,FALSE)="","",VLOOKUP(B15,#REF!,6,FALSE)))</f>
        <v/>
      </c>
      <c r="I15" s="1"/>
      <c r="J15" t="s">
        <v>199</v>
      </c>
      <c r="K15" t="s">
        <v>206</v>
      </c>
      <c r="L15" t="s">
        <v>213</v>
      </c>
      <c r="M15" t="str">
        <f t="shared" si="8"/>
        <v>N/A</v>
      </c>
      <c r="N15" t="str">
        <f t="shared" si="9"/>
        <v>N/A</v>
      </c>
      <c r="O15" t="s">
        <v>26</v>
      </c>
      <c r="P15" t="s">
        <v>29</v>
      </c>
      <c r="R15" t="str">
        <f t="shared" si="3"/>
        <v>#define DIRECTION_Z_DDR dummyTRIS2</v>
      </c>
      <c r="S15" t="str">
        <f t="shared" si="4"/>
        <v>#define DIRECTION_Z_PORT dummyPORT2</v>
      </c>
      <c r="T15" t="str">
        <f t="shared" si="4"/>
        <v>#define DIRECTION_Z_PORT dummyLAT2</v>
      </c>
      <c r="U15" t="str">
        <f t="shared" si="6"/>
        <v>//#define DIRECTION_Z_PORT_PUE N/A</v>
      </c>
      <c r="V15" t="str">
        <f t="shared" si="7"/>
        <v>//#define DIRECTION_Z_PORT_CN N/A</v>
      </c>
      <c r="W15" t="str">
        <f t="shared" si="5"/>
        <v xml:space="preserve">//#define VARIABLE_SPINDLE_OC </v>
      </c>
    </row>
    <row r="16" spans="1:23" x14ac:dyDescent="0.25">
      <c r="A16" t="s">
        <v>72</v>
      </c>
      <c r="B16" t="s">
        <v>8</v>
      </c>
      <c r="C16" s="1"/>
      <c r="D16" s="1"/>
      <c r="E16" s="1"/>
      <c r="F16" s="1"/>
      <c r="G16" s="1" t="str">
        <f>IF(ISERROR(VLOOKUP(B16,#REF!,5,FALSE))=TRUE,"",IF(VLOOKUP(B16,#REF!,5,FALSE)=0,"",VLOOKUP(B16,#REF!,5,FALSE)))</f>
        <v/>
      </c>
      <c r="H16" s="1" t="str">
        <f>IF(ISERROR(VLOOKUP(B16,#REF!,6,FALSE))=TRUE,"",IF(VLOOKUP(B16,#REF!,6,FALSE)="","",VLOOKUP(B16,#REF!,6,FALSE)))</f>
        <v/>
      </c>
      <c r="I16" s="1"/>
      <c r="J16" t="s">
        <v>200</v>
      </c>
      <c r="K16" t="s">
        <v>207</v>
      </c>
      <c r="L16" t="s">
        <v>214</v>
      </c>
      <c r="M16" t="str">
        <f t="shared" si="8"/>
        <v>N/A</v>
      </c>
      <c r="N16" t="str">
        <f t="shared" si="9"/>
        <v>N/A</v>
      </c>
      <c r="O16" t="s">
        <v>25</v>
      </c>
      <c r="P16" t="s">
        <v>28</v>
      </c>
      <c r="R16" t="str">
        <f t="shared" si="3"/>
        <v>#define DIRECTION_Y_DDR dummyTRIS3</v>
      </c>
      <c r="S16" t="str">
        <f t="shared" si="4"/>
        <v>#define DIRECTION_Y_PORT dummyPORT3</v>
      </c>
      <c r="T16" t="str">
        <f t="shared" si="4"/>
        <v>#define DIRECTION_Y_PORT dummyLAT3</v>
      </c>
      <c r="U16" t="str">
        <f t="shared" si="6"/>
        <v>//#define DIRECTION_Y_PORT_PUE N/A</v>
      </c>
      <c r="V16" t="str">
        <f t="shared" si="7"/>
        <v>//#define DIRECTION_Y_PORT_CN N/A</v>
      </c>
      <c r="W16" t="str">
        <f t="shared" si="5"/>
        <v xml:space="preserve">//#define VARIABLE_SPINDLE_OC </v>
      </c>
    </row>
    <row r="17" spans="1:23" x14ac:dyDescent="0.25">
      <c r="A17" t="s">
        <v>72</v>
      </c>
      <c r="B17" t="s">
        <v>9</v>
      </c>
      <c r="C17" s="1"/>
      <c r="D17" s="1"/>
      <c r="E17" s="1"/>
      <c r="F17" s="1"/>
      <c r="G17" s="1" t="str">
        <f>IF(ISERROR(VLOOKUP(B17,#REF!,5,FALSE))=TRUE,"",IF(VLOOKUP(B17,#REF!,5,FALSE)=0,"",VLOOKUP(B17,#REF!,5,FALSE)))</f>
        <v/>
      </c>
      <c r="H17" s="1" t="str">
        <f>IF(ISERROR(VLOOKUP(B17,#REF!,6,FALSE))=TRUE,"",IF(VLOOKUP(B17,#REF!,6,FALSE)="","",VLOOKUP(B17,#REF!,6,FALSE)))</f>
        <v/>
      </c>
      <c r="I17" s="1"/>
      <c r="J17" t="s">
        <v>201</v>
      </c>
      <c r="K17" t="s">
        <v>208</v>
      </c>
      <c r="L17" t="s">
        <v>215</v>
      </c>
      <c r="M17" t="str">
        <f t="shared" si="8"/>
        <v>N/A</v>
      </c>
      <c r="N17" t="str">
        <f t="shared" si="9"/>
        <v>N/A</v>
      </c>
      <c r="O17" t="s">
        <v>24</v>
      </c>
      <c r="P17" t="s">
        <v>27</v>
      </c>
      <c r="R17" t="str">
        <f t="shared" si="3"/>
        <v>#define DIRECTION_X_DDR dummyTRIS4</v>
      </c>
      <c r="S17" t="str">
        <f t="shared" si="4"/>
        <v>#define DIRECTION_X_PORT dummyPORT4</v>
      </c>
      <c r="T17" t="str">
        <f t="shared" si="4"/>
        <v>#define DIRECTION_X_PORT dummyLAT4</v>
      </c>
      <c r="U17" t="str">
        <f t="shared" si="6"/>
        <v>//#define DIRECTION_X_PORT_PUE N/A</v>
      </c>
      <c r="V17" t="str">
        <f t="shared" si="7"/>
        <v>//#define DIRECTION_X_PORT_CN N/A</v>
      </c>
      <c r="W17" t="str">
        <f t="shared" si="5"/>
        <v xml:space="preserve">//#define VARIABLE_SPINDLE_OC </v>
      </c>
    </row>
    <row r="18" spans="1:23" x14ac:dyDescent="0.25">
      <c r="A18" t="s">
        <v>72</v>
      </c>
      <c r="B18" t="s">
        <v>10</v>
      </c>
      <c r="C18" s="1"/>
      <c r="D18" s="1"/>
      <c r="E18" s="1"/>
      <c r="F18" s="1"/>
      <c r="G18" s="1" t="str">
        <f>IF(ISERROR(VLOOKUP(B18,#REF!,5,FALSE))=TRUE,"",IF(VLOOKUP(B18,#REF!,5,FALSE)=0,"",VLOOKUP(B18,#REF!,5,FALSE)))</f>
        <v/>
      </c>
      <c r="H18" s="1" t="str">
        <f>IF(ISERROR(VLOOKUP(B18,#REF!,6,FALSE))=TRUE,"",IF(VLOOKUP(B18,#REF!,6,FALSE)="","",VLOOKUP(B18,#REF!,6,FALSE)))</f>
        <v/>
      </c>
      <c r="I18" s="1"/>
      <c r="J18" t="s">
        <v>202</v>
      </c>
      <c r="K18" t="s">
        <v>209</v>
      </c>
      <c r="L18" t="s">
        <v>216</v>
      </c>
      <c r="M18" t="str">
        <f t="shared" si="8"/>
        <v>N/A</v>
      </c>
      <c r="N18" t="str">
        <f t="shared" si="9"/>
        <v>N/A</v>
      </c>
      <c r="O18" t="s">
        <v>21</v>
      </c>
      <c r="P18" t="s">
        <v>55</v>
      </c>
      <c r="R18" t="str">
        <f t="shared" si="3"/>
        <v>#define STEP_Z_DDR dummyTRIS5</v>
      </c>
      <c r="S18" t="str">
        <f t="shared" si="4"/>
        <v>#define STEP_Z_PORT dummyPORT5</v>
      </c>
      <c r="T18" t="str">
        <f t="shared" si="4"/>
        <v>#define STEP_Z_PORT dummyLAT5</v>
      </c>
      <c r="U18" t="str">
        <f t="shared" si="6"/>
        <v>//#define STEP_Z_PORT_PUE N/A</v>
      </c>
      <c r="V18" t="str">
        <f t="shared" si="7"/>
        <v>//#define STEP_Z_PORT_CN N/A</v>
      </c>
      <c r="W18" t="str">
        <f t="shared" si="5"/>
        <v xml:space="preserve">//#define VARIABLE_SPINDLE_OC </v>
      </c>
    </row>
    <row r="19" spans="1:23" x14ac:dyDescent="0.25">
      <c r="A19" t="s">
        <v>72</v>
      </c>
      <c r="B19" t="s">
        <v>11</v>
      </c>
      <c r="C19" s="1"/>
      <c r="D19" s="1"/>
      <c r="E19" s="1"/>
      <c r="F19" s="1"/>
      <c r="G19" s="1" t="str">
        <f>IF(ISERROR(VLOOKUP(B19,#REF!,5,FALSE))=TRUE,"",IF(VLOOKUP(B19,#REF!,5,FALSE)=0,"",VLOOKUP(B19,#REF!,5,FALSE)))</f>
        <v/>
      </c>
      <c r="H19" s="1" t="str">
        <f>IF(ISERROR(VLOOKUP(B19,#REF!,6,FALSE))=TRUE,"",IF(VLOOKUP(B19,#REF!,6,FALSE)="","",VLOOKUP(B19,#REF!,6,FALSE)))</f>
        <v/>
      </c>
      <c r="I19" s="1"/>
      <c r="J19" t="s">
        <v>203</v>
      </c>
      <c r="K19" t="s">
        <v>210</v>
      </c>
      <c r="L19" t="s">
        <v>217</v>
      </c>
      <c r="M19" t="str">
        <f t="shared" si="8"/>
        <v>N/A</v>
      </c>
      <c r="N19" t="str">
        <f t="shared" si="9"/>
        <v>N/A</v>
      </c>
      <c r="O19" t="s">
        <v>20</v>
      </c>
      <c r="P19" t="s">
        <v>23</v>
      </c>
      <c r="R19" t="str">
        <f t="shared" si="3"/>
        <v>#define STEP_Y_DDR dummyTRIS6</v>
      </c>
      <c r="S19" t="str">
        <f t="shared" si="4"/>
        <v>#define STEP_Y_PORT dummyPORT6</v>
      </c>
      <c r="T19" t="str">
        <f t="shared" si="4"/>
        <v>#define STEP_Y_PORT dummyLAT6</v>
      </c>
      <c r="U19" t="str">
        <f t="shared" si="6"/>
        <v>//#define STEP_Y_PORT_PUE N/A</v>
      </c>
      <c r="V19" t="str">
        <f t="shared" si="7"/>
        <v>//#define STEP_Y_PORT_CN N/A</v>
      </c>
      <c r="W19" t="str">
        <f t="shared" si="5"/>
        <v xml:space="preserve">//#define VARIABLE_SPINDLE_OC </v>
      </c>
    </row>
    <row r="20" spans="1:23" x14ac:dyDescent="0.25">
      <c r="A20" t="s">
        <v>72</v>
      </c>
      <c r="B20" t="s">
        <v>12</v>
      </c>
      <c r="C20" s="1"/>
      <c r="D20" s="1"/>
      <c r="E20" s="1"/>
      <c r="F20" s="1"/>
      <c r="G20" s="1" t="str">
        <f>IF(ISERROR(VLOOKUP(B20,#REF!,5,FALSE))=TRUE,"",IF(VLOOKUP(B20,#REF!,5,FALSE)=0,"",VLOOKUP(B20,#REF!,5,FALSE)))</f>
        <v/>
      </c>
      <c r="H20" s="1" t="str">
        <f>IF(ISERROR(VLOOKUP(B20,#REF!,6,FALSE))=TRUE,"",IF(VLOOKUP(B20,#REF!,6,FALSE)="","",VLOOKUP(B20,#REF!,6,FALSE)))</f>
        <v/>
      </c>
      <c r="I20" s="1"/>
      <c r="J20" t="s">
        <v>204</v>
      </c>
      <c r="K20" t="s">
        <v>211</v>
      </c>
      <c r="L20" t="s">
        <v>218</v>
      </c>
      <c r="M20" t="str">
        <f t="shared" si="8"/>
        <v>N/A</v>
      </c>
      <c r="N20" t="str">
        <f t="shared" si="9"/>
        <v>N/A</v>
      </c>
      <c r="O20" t="s">
        <v>19</v>
      </c>
      <c r="P20" t="s">
        <v>22</v>
      </c>
      <c r="R20" t="str">
        <f t="shared" si="3"/>
        <v>#define STEP_X_DDR dummyTRIS7</v>
      </c>
      <c r="S20" t="str">
        <f t="shared" si="4"/>
        <v>#define STEP_X_PORT dummyPORT7</v>
      </c>
      <c r="T20" t="str">
        <f t="shared" si="4"/>
        <v>#define STEP_X_PORT dummyLAT7</v>
      </c>
      <c r="U20" t="str">
        <f t="shared" si="6"/>
        <v>//#define STEP_X_PORT_PUE N/A</v>
      </c>
      <c r="V20" t="str">
        <f t="shared" si="7"/>
        <v>//#define STEP_X_PORT_CN N/A</v>
      </c>
      <c r="W20" t="str">
        <f t="shared" si="5"/>
        <v xml:space="preserve">//#define VARIABLE_SPINDLE_OC </v>
      </c>
    </row>
    <row r="21" spans="1:23" x14ac:dyDescent="0.25">
      <c r="A21" t="s">
        <v>72</v>
      </c>
      <c r="B21" t="s">
        <v>73</v>
      </c>
      <c r="C21" s="1"/>
      <c r="D21" s="1" t="str">
        <f>IF(ISERROR(VLOOKUP(B21,#REF!,2,FALSE))=TRUE,"",VLOOKUP(B21,#REF!,2,FALSE))</f>
        <v/>
      </c>
      <c r="E21" s="1" t="str">
        <f>IF(ISERROR(VLOOKUP(B21,#REF!,3,FALSE))=TRUE,"",VLOOKUP(B21,#REF!,3,FALSE))</f>
        <v/>
      </c>
      <c r="F21" s="1" t="str">
        <f>IF(ISERROR(VLOOKUP(B21,#REF!,4,FALSE))=TRUE,"",VLOOKUP(B21,#REF!,4,FALSE))</f>
        <v/>
      </c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s="1"/>
      <c r="J21" t="str">
        <f>IF($E21&lt;&gt;"","TRIS"&amp;$E21&amp;"bits.TRIS"&amp;$E21&amp;$F21,"N/A")</f>
        <v>N/A</v>
      </c>
      <c r="K21" t="str">
        <f>IF($E21&lt;&gt;"","PORT"&amp;$E21&amp;"bits.R"&amp;$E21&amp;$F21,"N/A")</f>
        <v>N/A</v>
      </c>
      <c r="L21" t="str">
        <f>IF($E21&lt;&gt;"","LAT"&amp;$E21&amp;"bits.LAT"&amp;$E21&amp;$F21,"N/A")</f>
        <v>N/A</v>
      </c>
      <c r="M21" t="str">
        <f t="shared" si="8"/>
        <v>N/A</v>
      </c>
      <c r="N21" t="str">
        <f t="shared" si="9"/>
        <v>N/A</v>
      </c>
      <c r="O21" t="s">
        <v>74</v>
      </c>
      <c r="P21" t="s">
        <v>75</v>
      </c>
      <c r="R21" t="str">
        <f>IF(J21="N/A","//#define "&amp;$O21&amp;" "&amp;$J21,"#define "&amp;$O21&amp;" "&amp;$J21)</f>
        <v>//#define COOLANT_MIST_DDR N/A</v>
      </c>
      <c r="S21" t="str">
        <f t="shared" ref="S21:T21" si="10">IF(K21="N/A","//#define "&amp;$P21&amp;" "&amp;K21,"#define "&amp;$P21&amp;" "&amp;K21)</f>
        <v>//#define COOLANT_MIST_PORT N/A</v>
      </c>
      <c r="T21" t="str">
        <f t="shared" si="10"/>
        <v>//#define COOLANT_MIST_PORT N/A</v>
      </c>
      <c r="U21" t="str">
        <f t="shared" si="6"/>
        <v>//#define COOLANT_MIST_PORT_PUE N/A</v>
      </c>
      <c r="V21" t="str">
        <f t="shared" si="7"/>
        <v>//#define COOLANT_MIST_PORT_CN N/A</v>
      </c>
      <c r="W21" t="str">
        <f t="shared" si="5"/>
        <v xml:space="preserve">//#define VARIABLE_SPINDLE_OC </v>
      </c>
    </row>
    <row r="23" spans="1:23" x14ac:dyDescent="0.25">
      <c r="B23" s="2"/>
      <c r="C23" s="1"/>
      <c r="D23" s="1"/>
      <c r="E23" s="1"/>
      <c r="F23" s="1"/>
      <c r="G23" s="1"/>
      <c r="H23" s="1"/>
      <c r="I23" s="1"/>
    </row>
    <row r="24" spans="1:23" x14ac:dyDescent="0.25">
      <c r="B24" s="7"/>
      <c r="C24" s="1"/>
      <c r="D24" s="1"/>
      <c r="E24" s="1"/>
      <c r="F24" s="1"/>
      <c r="G24" s="1"/>
      <c r="H24" s="1"/>
      <c r="I24" s="1"/>
    </row>
    <row r="25" spans="1:23" x14ac:dyDescent="0.25">
      <c r="B25" s="2"/>
      <c r="C25" s="1"/>
      <c r="D25" s="1"/>
      <c r="E25" s="1"/>
      <c r="F25" s="1"/>
      <c r="G25" s="1"/>
      <c r="H25" s="1"/>
      <c r="I25" s="1"/>
    </row>
    <row r="26" spans="1:23" x14ac:dyDescent="0.25">
      <c r="B26" s="2"/>
      <c r="C26" s="1"/>
      <c r="D26" s="1"/>
      <c r="E26" s="1"/>
      <c r="F26" s="1"/>
      <c r="G26" s="1"/>
      <c r="H26" s="1"/>
      <c r="I26" s="1"/>
    </row>
    <row r="27" spans="1:23" x14ac:dyDescent="0.25">
      <c r="B27" s="2"/>
      <c r="C27" s="1"/>
      <c r="D27" s="1"/>
      <c r="E27" s="1"/>
      <c r="F27" s="1"/>
      <c r="G27" s="1"/>
      <c r="H27" s="1"/>
      <c r="I27" s="1"/>
    </row>
    <row r="28" spans="1:23" x14ac:dyDescent="0.25">
      <c r="C28" s="1"/>
      <c r="D28" s="1"/>
      <c r="E28" s="1"/>
      <c r="F28" s="1"/>
      <c r="G28" s="1"/>
      <c r="H28" s="1"/>
      <c r="I28" s="1"/>
    </row>
    <row r="29" spans="1:23" x14ac:dyDescent="0.25">
      <c r="C29" s="1"/>
      <c r="D29" s="1"/>
      <c r="E29" s="1"/>
      <c r="F29" s="1"/>
      <c r="G29" s="1"/>
      <c r="H29" s="1"/>
      <c r="I29" s="1"/>
    </row>
    <row r="30" spans="1:23" x14ac:dyDescent="0.25">
      <c r="C30" s="1"/>
      <c r="D30" s="1"/>
      <c r="E30" s="1"/>
      <c r="F30" s="1"/>
      <c r="G30" s="1"/>
      <c r="H30" s="1"/>
      <c r="I30" s="1"/>
    </row>
    <row r="31" spans="1:23" x14ac:dyDescent="0.25">
      <c r="C31" s="1"/>
      <c r="D31" s="1"/>
      <c r="E31" s="1"/>
      <c r="F31" s="1"/>
      <c r="G31" s="1"/>
      <c r="H31" s="1"/>
      <c r="I31" s="1"/>
    </row>
    <row r="32" spans="1:23" x14ac:dyDescent="0.25">
      <c r="B32" s="3"/>
      <c r="C32" s="1"/>
      <c r="D32" s="1"/>
      <c r="E32" s="1"/>
      <c r="F32" s="1"/>
      <c r="G32" s="1"/>
      <c r="H32" s="1"/>
      <c r="I32" s="1"/>
    </row>
    <row r="33" spans="2:9" x14ac:dyDescent="0.25">
      <c r="B33" s="3"/>
      <c r="C33" s="1"/>
      <c r="D33" s="1"/>
      <c r="E33" s="1"/>
      <c r="F33" s="1"/>
      <c r="G33" s="1"/>
      <c r="H33" s="1"/>
      <c r="I33" s="1"/>
    </row>
    <row r="34" spans="2:9" x14ac:dyDescent="0.25">
      <c r="B34" s="3"/>
      <c r="C34" s="1"/>
      <c r="D34" s="1"/>
      <c r="E34" s="1"/>
      <c r="F34" s="1"/>
      <c r="G34" s="1"/>
      <c r="H34" s="1"/>
      <c r="I34" s="1"/>
    </row>
    <row r="35" spans="2:9" x14ac:dyDescent="0.25">
      <c r="C35" s="1"/>
      <c r="D35" s="1"/>
      <c r="E35" s="1"/>
      <c r="F35" s="1"/>
      <c r="G35" s="1"/>
      <c r="H35" s="1"/>
      <c r="I35" s="1"/>
    </row>
    <row r="36" spans="2:9" x14ac:dyDescent="0.25">
      <c r="C36" s="1"/>
      <c r="D36" s="1"/>
      <c r="E36" s="1"/>
      <c r="F36" s="1"/>
      <c r="G36" s="1"/>
      <c r="H36" s="1"/>
      <c r="I36" s="1"/>
    </row>
    <row r="37" spans="2:9" x14ac:dyDescent="0.25">
      <c r="C37" s="1"/>
      <c r="D37" s="1"/>
      <c r="E37" s="1"/>
      <c r="F37" s="1"/>
      <c r="G37" s="1"/>
      <c r="H37" s="1"/>
      <c r="I37" s="1"/>
    </row>
    <row r="38" spans="2:9" x14ac:dyDescent="0.25">
      <c r="C38" s="1"/>
      <c r="D38" s="1"/>
      <c r="E38" s="1"/>
      <c r="F38" s="1"/>
      <c r="G38" s="1"/>
      <c r="H38" s="1"/>
      <c r="I38" s="1"/>
    </row>
    <row r="39" spans="2:9" x14ac:dyDescent="0.25">
      <c r="C39" s="1"/>
      <c r="D39" s="1"/>
      <c r="E39" s="1"/>
      <c r="F39" s="1"/>
      <c r="G39" s="1"/>
      <c r="H39" s="1"/>
      <c r="I39" s="1"/>
    </row>
    <row r="40" spans="2:9" x14ac:dyDescent="0.25">
      <c r="C40" s="1"/>
      <c r="D40" s="1"/>
      <c r="E40" s="1"/>
      <c r="F40" s="1"/>
      <c r="G40" s="1"/>
      <c r="H40" s="1"/>
      <c r="I40" s="1"/>
    </row>
    <row r="41" spans="2:9" x14ac:dyDescent="0.25">
      <c r="C41" s="1"/>
      <c r="D41" s="1"/>
      <c r="E41" s="1"/>
      <c r="F41" s="1"/>
      <c r="G41" s="1"/>
      <c r="H41" s="1"/>
      <c r="I41" s="1"/>
    </row>
    <row r="42" spans="2:9" x14ac:dyDescent="0.25">
      <c r="C42" s="1"/>
      <c r="D42" s="1"/>
      <c r="E42" s="1"/>
      <c r="F42" s="1"/>
      <c r="G42" s="1"/>
      <c r="H42" s="1"/>
      <c r="I42" s="1"/>
    </row>
    <row r="43" spans="2:9" x14ac:dyDescent="0.25">
      <c r="B43" s="2"/>
      <c r="E43" s="1"/>
      <c r="F43" s="1"/>
      <c r="G43" s="1"/>
      <c r="H43" s="1"/>
    </row>
    <row r="44" spans="2:9" x14ac:dyDescent="0.25">
      <c r="B44" s="2"/>
      <c r="E44" s="1"/>
      <c r="F44" s="1"/>
      <c r="G44" s="1"/>
      <c r="H44" s="1"/>
    </row>
    <row r="45" spans="2:9" x14ac:dyDescent="0.25">
      <c r="B45" s="2"/>
      <c r="E45" s="1"/>
      <c r="F45" s="1"/>
      <c r="G45" s="1"/>
      <c r="H45" s="1"/>
    </row>
    <row r="46" spans="2:9" x14ac:dyDescent="0.25">
      <c r="B46" s="2"/>
      <c r="E46" s="1"/>
      <c r="F46" s="1"/>
      <c r="G46" s="1"/>
      <c r="H46" s="1"/>
    </row>
    <row r="47" spans="2:9" x14ac:dyDescent="0.25">
      <c r="B47" s="2"/>
      <c r="E47" s="1"/>
      <c r="F47" s="1"/>
      <c r="G47" s="1"/>
      <c r="H47" s="1"/>
    </row>
    <row r="48" spans="2:9" x14ac:dyDescent="0.25">
      <c r="E48" s="1"/>
      <c r="F48" s="1"/>
      <c r="G48" s="1"/>
      <c r="H48" s="1"/>
    </row>
    <row r="49" spans="2:8" x14ac:dyDescent="0.25">
      <c r="E49" s="1"/>
      <c r="F49" s="1"/>
      <c r="G49" s="1"/>
      <c r="H49" s="1"/>
    </row>
    <row r="50" spans="2:8" x14ac:dyDescent="0.25">
      <c r="E50" s="1"/>
      <c r="F50" s="1"/>
      <c r="G50" s="1"/>
      <c r="H50" s="1"/>
    </row>
    <row r="51" spans="2:8" x14ac:dyDescent="0.25">
      <c r="E51" s="1"/>
      <c r="F51" s="1"/>
      <c r="G51" s="1"/>
      <c r="H51" s="1"/>
    </row>
    <row r="52" spans="2:8" x14ac:dyDescent="0.25">
      <c r="B52" s="3"/>
      <c r="E52" s="1"/>
      <c r="F52" s="1"/>
      <c r="G52" s="1"/>
      <c r="H52" s="1"/>
    </row>
    <row r="53" spans="2:8" x14ac:dyDescent="0.25">
      <c r="B53" s="3"/>
      <c r="E53" s="1"/>
      <c r="F53" s="1"/>
      <c r="G53" s="1"/>
      <c r="H53" s="1"/>
    </row>
    <row r="54" spans="2:8" x14ac:dyDescent="0.25">
      <c r="B54" s="3"/>
      <c r="E54" s="1"/>
      <c r="F54" s="1"/>
      <c r="G54" s="1"/>
      <c r="H54" s="1"/>
    </row>
    <row r="55" spans="2:8" x14ac:dyDescent="0.25">
      <c r="E55" s="1"/>
      <c r="F55" s="1"/>
      <c r="G55" s="1"/>
      <c r="H55" s="1"/>
    </row>
    <row r="56" spans="2:8" x14ac:dyDescent="0.25">
      <c r="E56" s="1"/>
      <c r="F56" s="1"/>
      <c r="G56" s="1"/>
      <c r="H56" s="1"/>
    </row>
    <row r="57" spans="2:8" x14ac:dyDescent="0.25">
      <c r="E57" s="1"/>
      <c r="F57" s="1"/>
      <c r="G57" s="1"/>
      <c r="H57" s="1"/>
    </row>
    <row r="58" spans="2:8" x14ac:dyDescent="0.25">
      <c r="E58" s="1"/>
      <c r="F58" s="1"/>
      <c r="G58" s="1"/>
      <c r="H58" s="1"/>
    </row>
    <row r="59" spans="2:8" x14ac:dyDescent="0.25">
      <c r="E59" s="1"/>
      <c r="F59" s="1"/>
      <c r="G59" s="1"/>
      <c r="H59" s="1"/>
    </row>
    <row r="60" spans="2:8" x14ac:dyDescent="0.25">
      <c r="E60" s="1"/>
      <c r="F60" s="1"/>
      <c r="G60" s="1"/>
      <c r="H60" s="1"/>
    </row>
    <row r="61" spans="2:8" x14ac:dyDescent="0.25"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4EAF-5203-46B2-9744-A22335A40F60}">
  <sheetPr codeName="Sheet9"/>
  <dimension ref="A2:C193"/>
  <sheetViews>
    <sheetView topLeftCell="A141" workbookViewId="0">
      <selection activeCell="A158" sqref="A158"/>
    </sheetView>
  </sheetViews>
  <sheetFormatPr defaultColWidth="11.42578125" defaultRowHeight="15" x14ac:dyDescent="0.25"/>
  <cols>
    <col min="1" max="1" width="58" style="4" bestFit="1" customWidth="1"/>
    <col min="3" max="3" width="56.28515625" bestFit="1" customWidth="1"/>
  </cols>
  <sheetData>
    <row r="2" spans="1:1" x14ac:dyDescent="0.25">
      <c r="A2" t="s">
        <v>80</v>
      </c>
    </row>
    <row r="3" spans="1:1" x14ac:dyDescent="0.25">
      <c r="A3" t="s">
        <v>79</v>
      </c>
    </row>
    <row r="9" spans="1:1" x14ac:dyDescent="0.25">
      <c r="A9" s="4" t="str">
        <f>cnc_1_0_0_simulator!R20</f>
        <v>#define STEP_X_DDR dummyTRIS7</v>
      </c>
    </row>
    <row r="10" spans="1:1" x14ac:dyDescent="0.25">
      <c r="A10" s="4" t="str">
        <f>cnc_1_0_0_simulator!R19</f>
        <v>#define STEP_Y_DDR dummyTRIS6</v>
      </c>
    </row>
    <row r="11" spans="1:1" x14ac:dyDescent="0.25">
      <c r="A11" s="4" t="str">
        <f>cnc_1_0_0_simulator!R18</f>
        <v>#define STEP_Z_DDR dummyTRIS5</v>
      </c>
    </row>
    <row r="12" spans="1:1" x14ac:dyDescent="0.25">
      <c r="A12" s="4" t="str">
        <f>cnc_1_0_0_simulator!T20</f>
        <v>#define STEP_X_PORT dummyLAT7</v>
      </c>
    </row>
    <row r="13" spans="1:1" x14ac:dyDescent="0.25">
      <c r="A13" s="4" t="str">
        <f>cnc_1_0_0_simulator!T19</f>
        <v>#define STEP_Y_PORT dummyLAT6</v>
      </c>
    </row>
    <row r="14" spans="1:1" x14ac:dyDescent="0.25">
      <c r="A14" s="4" t="str">
        <f>cnc_1_0_0_simulator!T18</f>
        <v>#define STEP_Z_PORT dummyLAT5</v>
      </c>
    </row>
    <row r="16" spans="1:1" x14ac:dyDescent="0.25">
      <c r="A16" s="4" t="str">
        <f>cnc_1_0_0_simulator!R17</f>
        <v>#define DIRECTION_X_DDR dummyTRIS4</v>
      </c>
    </row>
    <row r="17" spans="1:1" x14ac:dyDescent="0.25">
      <c r="A17" s="4" t="str">
        <f>cnc_1_0_0_simulator!R16</f>
        <v>#define DIRECTION_Y_DDR dummyTRIS3</v>
      </c>
    </row>
    <row r="18" spans="1:1" x14ac:dyDescent="0.25">
      <c r="A18" s="4" t="str">
        <f>cnc_1_0_0_simulator!R15</f>
        <v>#define DIRECTION_Z_DDR dummyTRIS2</v>
      </c>
    </row>
    <row r="19" spans="1:1" x14ac:dyDescent="0.25">
      <c r="A19" s="4" t="str">
        <f>cnc_1_0_0_simulator!T17</f>
        <v>#define DIRECTION_X_PORT dummyLAT4</v>
      </c>
    </row>
    <row r="20" spans="1:1" x14ac:dyDescent="0.25">
      <c r="A20" s="4" t="str">
        <f>cnc_1_0_0_simulator!T16</f>
        <v>#define DIRECTION_Y_PORT dummyLAT3</v>
      </c>
    </row>
    <row r="21" spans="1:1" x14ac:dyDescent="0.25">
      <c r="A21" s="4" t="str">
        <f>cnc_1_0_0_simulator!T15</f>
        <v>#define DIRECTION_Z_PORT dummyLAT2</v>
      </c>
    </row>
    <row r="23" spans="1:1" x14ac:dyDescent="0.25">
      <c r="A23" s="4" t="str">
        <f>cnc_1_0_0_simulator!R14</f>
        <v>#define STEPPERS_DISABLE_DDR dummyTRIS1</v>
      </c>
    </row>
    <row r="24" spans="1:1" x14ac:dyDescent="0.25">
      <c r="A24" s="4" t="str">
        <f>cnc_1_0_0_simulator!T14</f>
        <v>#define STEPPERS_DISABLE_PORT dummyLAT1</v>
      </c>
    </row>
    <row r="26" spans="1:1" x14ac:dyDescent="0.25">
      <c r="A26" s="4" t="str">
        <f>cnc_1_0_0_simulator!R13</f>
        <v>//#define LIMIT_X_DDR N/A</v>
      </c>
    </row>
    <row r="27" spans="1:1" x14ac:dyDescent="0.25">
      <c r="A27" s="4" t="str">
        <f>cnc_1_0_0_simulator!R12</f>
        <v>//#define LIMIT_Y_DDR N/A</v>
      </c>
    </row>
    <row r="28" spans="1:1" x14ac:dyDescent="0.25">
      <c r="A28" s="4" t="str">
        <f>cnc_1_0_0_simulator!R11</f>
        <v>//#define LIMIT_Z_DDR N/A</v>
      </c>
    </row>
    <row r="29" spans="1:1" x14ac:dyDescent="0.25">
      <c r="A29" s="4" t="str">
        <f>cnc_1_0_0_simulator!S13</f>
        <v>//#define LIMIT_X_PIN N/A</v>
      </c>
    </row>
    <row r="30" spans="1:1" x14ac:dyDescent="0.25">
      <c r="A30" s="4" t="str">
        <f>cnc_1_0_0_simulator!S12</f>
        <v>//#define LIMIT_Y_PIN N/A</v>
      </c>
    </row>
    <row r="31" spans="1:1" x14ac:dyDescent="0.25">
      <c r="A31" s="4" t="str">
        <f>cnc_1_0_0_simulator!S11</f>
        <v>//#define LIMIT_Z_PIN N/A</v>
      </c>
    </row>
    <row r="33" spans="1:3" x14ac:dyDescent="0.25">
      <c r="A33" s="4" t="str">
        <f>cnc_1_0_0_simulator!U13</f>
        <v>//#define LIMIT_X_PIN_PUE N/A</v>
      </c>
    </row>
    <row r="34" spans="1:3" x14ac:dyDescent="0.25">
      <c r="A34" s="4" t="str">
        <f>cnc_1_0_0_simulator!U12</f>
        <v>//#define LIMIT_Y_PIN_PUE N/A</v>
      </c>
    </row>
    <row r="35" spans="1:3" x14ac:dyDescent="0.25">
      <c r="A35" s="4" t="str">
        <f>cnc_1_0_0_simulator!U11</f>
        <v>//#define LIMIT_Z_PIN_PUE N/A</v>
      </c>
    </row>
    <row r="37" spans="1:3" x14ac:dyDescent="0.25">
      <c r="A37" s="4" t="str">
        <f>cnc_1_0_0_simulator!V13</f>
        <v>//#define LIMIT_X_PIN_CN N/A</v>
      </c>
      <c r="C37" s="5"/>
    </row>
    <row r="38" spans="1:3" x14ac:dyDescent="0.25">
      <c r="A38" s="4" t="str">
        <f>cnc_1_0_0_simulator!V12</f>
        <v>//#define LIMIT_Y_PIN_CN N/A</v>
      </c>
      <c r="C38" s="5"/>
    </row>
    <row r="39" spans="1:3" x14ac:dyDescent="0.25">
      <c r="A39" s="4" t="str">
        <f>cnc_1_0_0_simulator!V11</f>
        <v>//#define LIMIT_Z_PIN_CN N/A</v>
      </c>
      <c r="C39" s="5"/>
    </row>
    <row r="41" spans="1:3" x14ac:dyDescent="0.25">
      <c r="A41" s="4" t="str">
        <f>cnc_1_0_0_simulator!R9</f>
        <v>//#define SPINDLE_ENABLE_DDR N/A</v>
      </c>
    </row>
    <row r="42" spans="1:3" x14ac:dyDescent="0.25">
      <c r="A42" s="4" t="str">
        <f>cnc_1_0_0_simulator!T9</f>
        <v>//#define SPINDLE_ENABLE_PORT N/A</v>
      </c>
    </row>
    <row r="44" spans="1:3" x14ac:dyDescent="0.25">
      <c r="A44" s="4" t="str">
        <f>cnc_1_0_0_simulator!R8</f>
        <v>//#define SPINDLE_DIRECTION_DDR N/A</v>
      </c>
    </row>
    <row r="45" spans="1:3" x14ac:dyDescent="0.25">
      <c r="A45" s="4" t="str">
        <f>cnc_1_0_0_simulator!T8</f>
        <v>//#define SPINDLE_DIRECTION_PORT N/A</v>
      </c>
    </row>
    <row r="47" spans="1:3" x14ac:dyDescent="0.25">
      <c r="A47" s="4" t="str">
        <f>cnc_1_0_0_simulator!R10</f>
        <v>//#define SPINDLE_PWM_DDR N/A</v>
      </c>
    </row>
    <row r="49" spans="1:3" x14ac:dyDescent="0.25">
      <c r="A49" s="4" t="str">
        <f>cnc_1_0_0_simulator!W10</f>
        <v xml:space="preserve">//#define VARIABLE_SPINDLE_OC </v>
      </c>
      <c r="C49" s="6"/>
    </row>
    <row r="51" spans="1:3" x14ac:dyDescent="0.25">
      <c r="A51" s="4" t="str">
        <f>cnc_1_0_0_simulator!R7</f>
        <v>//#define COOLANT_FLOOD_DDR N/A</v>
      </c>
    </row>
    <row r="52" spans="1:3" x14ac:dyDescent="0.25">
      <c r="A52" s="4" t="str">
        <f>cnc_1_0_0_simulator!T7</f>
        <v>//#define COOLANT_FLOOD_PORT N/A</v>
      </c>
    </row>
    <row r="53" spans="1:3" x14ac:dyDescent="0.25">
      <c r="A53" s="4" t="str">
        <f>cnc_1_0_0_simulator!R21</f>
        <v>//#define COOLANT_MIST_DDR N/A</v>
      </c>
    </row>
    <row r="54" spans="1:3" x14ac:dyDescent="0.25">
      <c r="A54" s="4" t="str">
        <f>cnc_1_0_0_simulator!T21</f>
        <v>//#define COOLANT_MIST_PORT N/A</v>
      </c>
    </row>
    <row r="56" spans="1:3" x14ac:dyDescent="0.25">
      <c r="A56" s="4" t="str">
        <f>cnc_1_0_0_simulator!R3</f>
        <v>//#define CONTROL_ABORT_DDR N/A</v>
      </c>
    </row>
    <row r="57" spans="1:3" x14ac:dyDescent="0.25">
      <c r="A57" s="4" t="str">
        <f>cnc_1_0_0_simulator!R4</f>
        <v>//#define CONTROL_FEED_HOLD_DDR N/A</v>
      </c>
    </row>
    <row r="58" spans="1:3" x14ac:dyDescent="0.25">
      <c r="A58" s="4" t="str">
        <f>cnc_1_0_0_simulator!R5</f>
        <v>//#define CONTROL_CYCLE_START_DDR N/A</v>
      </c>
    </row>
    <row r="59" spans="1:3" x14ac:dyDescent="0.25">
      <c r="A59" s="4" t="str">
        <f>cnc_1_0_0_simulator!R6</f>
        <v>//#define CONTROL_SAFETY_DOOR_DDR N/A</v>
      </c>
    </row>
    <row r="61" spans="1:3" x14ac:dyDescent="0.25">
      <c r="A61" s="4" t="str">
        <f>cnc_1_0_0_simulator!S3</f>
        <v>//#define CONTROL_ABORT_PIN N/A</v>
      </c>
    </row>
    <row r="62" spans="1:3" x14ac:dyDescent="0.25">
      <c r="A62" s="4" t="str">
        <f>cnc_1_0_0_simulator!S4</f>
        <v>//#define CONTROL_FEED_HOLD_PIN N/A</v>
      </c>
    </row>
    <row r="63" spans="1:3" x14ac:dyDescent="0.25">
      <c r="A63" s="4" t="str">
        <f>cnc_1_0_0_simulator!S5</f>
        <v>//#define CONTROL_CYCLE_START_PIN N/A</v>
      </c>
    </row>
    <row r="64" spans="1:3" x14ac:dyDescent="0.25">
      <c r="A64" s="4" t="str">
        <f>cnc_1_0_0_simulator!S6</f>
        <v>//#define CONTROL_SAFETY_DOOR_PIN N/A</v>
      </c>
    </row>
    <row r="66" spans="1:1" x14ac:dyDescent="0.25">
      <c r="A66" s="4" t="str">
        <f>cnc_1_0_0_simulator!U3</f>
        <v>//#define CONTROL_ABORT_PIN_PUE N/A</v>
      </c>
    </row>
    <row r="67" spans="1:1" x14ac:dyDescent="0.25">
      <c r="A67" s="4" t="str">
        <f>cnc_1_0_0_simulator!U4</f>
        <v>//#define CONTROL_FEED_HOLD_PIN_PUE N/A</v>
      </c>
    </row>
    <row r="68" spans="1:1" x14ac:dyDescent="0.25">
      <c r="A68" s="4" t="str">
        <f>cnc_1_0_0_simulator!U5</f>
        <v>//#define CONTROL_CYCLE_START_PIN_PUE N/A</v>
      </c>
    </row>
    <row r="69" spans="1:1" x14ac:dyDescent="0.25">
      <c r="A69" s="4" t="str">
        <f>cnc_1_0_0_simulator!U6</f>
        <v>//#define CONTROL_SAFETY_DOOR_PIN_PUE N/A</v>
      </c>
    </row>
    <row r="71" spans="1:1" x14ac:dyDescent="0.25">
      <c r="A71" s="4" t="str">
        <f>cnc_1_0_0_simulator!V3</f>
        <v>//#define CONTROL_ABORT_PIN_CN N/A</v>
      </c>
    </row>
    <row r="72" spans="1:1" x14ac:dyDescent="0.25">
      <c r="A72" s="4" t="str">
        <f>cnc_1_0_0_simulator!V4</f>
        <v>//#define CONTROL_FEED_HOLD_PIN_CN N/A</v>
      </c>
    </row>
    <row r="73" spans="1:1" x14ac:dyDescent="0.25">
      <c r="A73" s="4" t="str">
        <f>cnc_1_0_0_simulator!V5</f>
        <v>//#define CONTROL_CYCLE_START_PIN_CN N/A</v>
      </c>
    </row>
    <row r="74" spans="1:1" x14ac:dyDescent="0.25">
      <c r="A74" s="4" t="str">
        <f>cnc_1_0_0_simulator!V6</f>
        <v>//#define CONTROL_SAFETY_DOOR_PIN_CN N/A</v>
      </c>
    </row>
    <row r="76" spans="1:1" x14ac:dyDescent="0.25">
      <c r="A76" s="4" t="str">
        <f>cnc_1_0_0_simulator!R2</f>
        <v>//#define PROBE_TRIS N/A</v>
      </c>
    </row>
    <row r="77" spans="1:1" x14ac:dyDescent="0.25">
      <c r="A77" s="4" t="str">
        <f>cnc_1_0_0_simulator!S2</f>
        <v>//#define PROBE_PIN N/A</v>
      </c>
    </row>
    <row r="78" spans="1:1" x14ac:dyDescent="0.25">
      <c r="A78" s="4" t="str">
        <f>cnc_1_0_0_simulator!U2</f>
        <v>//#define PROBE_PIN_PUE N/A</v>
      </c>
    </row>
    <row r="79" spans="1:1" x14ac:dyDescent="0.25">
      <c r="A79" s="4" t="str">
        <f>cnc_1_0_0_simulator!V2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146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104</v>
      </c>
    </row>
    <row r="114" spans="1:1" x14ac:dyDescent="0.25">
      <c r="A114" t="s">
        <v>105</v>
      </c>
    </row>
    <row r="115" spans="1:1" x14ac:dyDescent="0.25">
      <c r="A115" t="s">
        <v>106</v>
      </c>
    </row>
    <row r="116" spans="1:1" x14ac:dyDescent="0.25">
      <c r="A116" t="s">
        <v>107</v>
      </c>
    </row>
    <row r="117" spans="1:1" x14ac:dyDescent="0.25">
      <c r="A117" t="s">
        <v>108</v>
      </c>
    </row>
    <row r="118" spans="1:1" x14ac:dyDescent="0.25">
      <c r="A118" t="s">
        <v>109</v>
      </c>
    </row>
    <row r="119" spans="1:1" x14ac:dyDescent="0.25">
      <c r="A119" t="s">
        <v>162</v>
      </c>
    </row>
    <row r="120" spans="1:1" x14ac:dyDescent="0.25">
      <c r="A120" t="s">
        <v>163</v>
      </c>
    </row>
    <row r="121" spans="1:1" x14ac:dyDescent="0.25">
      <c r="A121" t="s">
        <v>164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110</v>
      </c>
    </row>
    <row r="129" spans="1:1" x14ac:dyDescent="0.25">
      <c r="A129" t="s">
        <v>111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126</v>
      </c>
    </row>
    <row r="146" spans="1:1" x14ac:dyDescent="0.25">
      <c r="A146" t="s">
        <v>127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240</v>
      </c>
    </row>
    <row r="161" spans="1:1" x14ac:dyDescent="0.25">
      <c r="A161"/>
    </row>
    <row r="162" spans="1:1" x14ac:dyDescent="0.25">
      <c r="A162" t="s">
        <v>137</v>
      </c>
    </row>
    <row r="163" spans="1:1" x14ac:dyDescent="0.25">
      <c r="A163" t="s">
        <v>138</v>
      </c>
    </row>
    <row r="164" spans="1:1" x14ac:dyDescent="0.25">
      <c r="A164" t="s">
        <v>139</v>
      </c>
    </row>
    <row r="165" spans="1:1" x14ac:dyDescent="0.25">
      <c r="A165"/>
    </row>
    <row r="166" spans="1:1" x14ac:dyDescent="0.25">
      <c r="A166" t="s">
        <v>140</v>
      </c>
    </row>
    <row r="167" spans="1:1" x14ac:dyDescent="0.25">
      <c r="A167" t="s">
        <v>138</v>
      </c>
    </row>
    <row r="168" spans="1:1" x14ac:dyDescent="0.25">
      <c r="A168" t="s">
        <v>141</v>
      </c>
    </row>
    <row r="169" spans="1:1" x14ac:dyDescent="0.25">
      <c r="A169" t="s">
        <v>142</v>
      </c>
    </row>
    <row r="170" spans="1:1" x14ac:dyDescent="0.25">
      <c r="A170"/>
    </row>
    <row r="171" spans="1:1" x14ac:dyDescent="0.25">
      <c r="A171" t="s">
        <v>143</v>
      </c>
    </row>
    <row r="173" spans="1:1" x14ac:dyDescent="0.25">
      <c r="A173" t="s">
        <v>219</v>
      </c>
    </row>
    <row r="174" spans="1:1" x14ac:dyDescent="0.25">
      <c r="A174" t="s">
        <v>220</v>
      </c>
    </row>
    <row r="175" spans="1:1" x14ac:dyDescent="0.25">
      <c r="A175" t="s">
        <v>221</v>
      </c>
    </row>
    <row r="176" spans="1:1" x14ac:dyDescent="0.25">
      <c r="A176" t="s">
        <v>222</v>
      </c>
    </row>
    <row r="177" spans="1:1" x14ac:dyDescent="0.25">
      <c r="A177" t="s">
        <v>223</v>
      </c>
    </row>
    <row r="178" spans="1:1" x14ac:dyDescent="0.25">
      <c r="A178" t="s">
        <v>224</v>
      </c>
    </row>
    <row r="179" spans="1:1" x14ac:dyDescent="0.25">
      <c r="A179" t="s">
        <v>225</v>
      </c>
    </row>
    <row r="180" spans="1:1" x14ac:dyDescent="0.25">
      <c r="A180" t="s">
        <v>226</v>
      </c>
    </row>
    <row r="181" spans="1:1" x14ac:dyDescent="0.25">
      <c r="A181" t="s">
        <v>227</v>
      </c>
    </row>
    <row r="182" spans="1:1" x14ac:dyDescent="0.25">
      <c r="A182" t="s">
        <v>228</v>
      </c>
    </row>
    <row r="183" spans="1:1" x14ac:dyDescent="0.25">
      <c r="A183" t="s">
        <v>229</v>
      </c>
    </row>
    <row r="184" spans="1:1" x14ac:dyDescent="0.25">
      <c r="A184" t="s">
        <v>230</v>
      </c>
    </row>
    <row r="185" spans="1:1" x14ac:dyDescent="0.25">
      <c r="A185" t="s">
        <v>231</v>
      </c>
    </row>
    <row r="186" spans="1:1" x14ac:dyDescent="0.25">
      <c r="A186" t="s">
        <v>232</v>
      </c>
    </row>
    <row r="187" spans="1:1" x14ac:dyDescent="0.25">
      <c r="A187" t="s">
        <v>233</v>
      </c>
    </row>
    <row r="188" spans="1:1" x14ac:dyDescent="0.25">
      <c r="A188" t="s">
        <v>234</v>
      </c>
    </row>
    <row r="189" spans="1:1" x14ac:dyDescent="0.25">
      <c r="A189" t="s">
        <v>235</v>
      </c>
    </row>
    <row r="190" spans="1:1" x14ac:dyDescent="0.25">
      <c r="A190" t="s">
        <v>236</v>
      </c>
    </row>
    <row r="191" spans="1:1" x14ac:dyDescent="0.25">
      <c r="A191" t="s">
        <v>237</v>
      </c>
    </row>
    <row r="192" spans="1:1" x14ac:dyDescent="0.25">
      <c r="A192" t="s">
        <v>238</v>
      </c>
    </row>
    <row r="193" spans="1:1" x14ac:dyDescent="0.25">
      <c r="A193" t="s">
        <v>239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IC32_CodeGen_Simulator_onClick">
                <anchor moveWithCells="1">
                  <from>
                    <xdr:col>1</xdr:col>
                    <xdr:colOff>38100</xdr:colOff>
                    <xdr:row>1</xdr:row>
                    <xdr:rowOff>9525</xdr:rowOff>
                  </from>
                  <to>
                    <xdr:col>2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General</vt:lpstr>
      <vt:lpstr>cnc_1_0_0_old_grbl</vt:lpstr>
      <vt:lpstr>CodeGen_cnc_1_0_0_old_grbl</vt:lpstr>
      <vt:lpstr>Arduino</vt:lpstr>
      <vt:lpstr>CodeGen_Arduino</vt:lpstr>
      <vt:lpstr>cnc_1_0_0</vt:lpstr>
      <vt:lpstr>CodeGen_cnc_1_0_0</vt:lpstr>
      <vt:lpstr>cnc_1_0_0_mz</vt:lpstr>
      <vt:lpstr>CodeGen_cnc_1_0_0_mz</vt:lpstr>
      <vt:lpstr>cnc_1_0_0_simulator</vt:lpstr>
      <vt:lpstr>CodeGen_cnc_1_0_0_Simulator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</dc:creator>
  <cp:lastModifiedBy>kyrk</cp:lastModifiedBy>
  <cp:lastPrinted>2020-01-25T18:41:44Z</cp:lastPrinted>
  <dcterms:created xsi:type="dcterms:W3CDTF">2017-02-11T09:45:10Z</dcterms:created>
  <dcterms:modified xsi:type="dcterms:W3CDTF">2023-02-26T10:32:32Z</dcterms:modified>
</cp:coreProperties>
</file>