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project\project\cnc_1_0_0\software\trunk\doc\"/>
    </mc:Choice>
  </mc:AlternateContent>
  <xr:revisionPtr revIDLastSave="0" documentId="13_ncr:1_{AF975F21-0C58-47FF-8B89-165B5C866DED}" xr6:coauthVersionLast="47" xr6:coauthVersionMax="47" xr10:uidLastSave="{00000000-0000-0000-0000-000000000000}"/>
  <bookViews>
    <workbookView xWindow="-120" yWindow="-120" windowWidth="29040" windowHeight="17640" xr2:uid="{4D602966-0A35-4437-9D84-F2D052583142}"/>
  </bookViews>
  <sheets>
    <sheet name="set RPM to measured RPM" sheetId="4" r:id="rId1"/>
    <sheet name="_delet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4" i="4" l="1"/>
  <c r="R53" i="4"/>
  <c r="R52" i="4"/>
  <c r="R51" i="4"/>
  <c r="A3" i="4"/>
  <c r="N27" i="4"/>
  <c r="N48" i="4"/>
  <c r="N55" i="4"/>
  <c r="N26" i="4"/>
  <c r="N25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C27" i="4"/>
  <c r="C26" i="4"/>
  <c r="A4" i="4"/>
  <c r="C4" i="4" s="1"/>
  <c r="A5" i="4"/>
  <c r="A6" i="4"/>
  <c r="A7" i="4"/>
  <c r="A8" i="4"/>
  <c r="C8" i="4" s="1"/>
  <c r="A9" i="4"/>
  <c r="C9" i="4" s="1"/>
  <c r="A10" i="4"/>
  <c r="C10" i="4" s="1"/>
  <c r="A11" i="4"/>
  <c r="C11" i="4" s="1"/>
  <c r="A12" i="4"/>
  <c r="C12" i="4" s="1"/>
  <c r="A13" i="4"/>
  <c r="C13" i="4" s="1"/>
  <c r="A14" i="4"/>
  <c r="A15" i="4"/>
  <c r="A16" i="4"/>
  <c r="C16" i="4" s="1"/>
  <c r="A17" i="4"/>
  <c r="C17" i="4" s="1"/>
  <c r="A18" i="4"/>
  <c r="A19" i="4"/>
  <c r="C19" i="4" s="1"/>
  <c r="A20" i="4"/>
  <c r="C20" i="4" s="1"/>
  <c r="A21" i="4"/>
  <c r="A22" i="4"/>
  <c r="A23" i="4"/>
  <c r="A24" i="4"/>
  <c r="C24" i="4" s="1"/>
  <c r="A25" i="4"/>
  <c r="C25" i="4" s="1"/>
  <c r="A26" i="4"/>
  <c r="A27" i="4"/>
  <c r="A28" i="4"/>
  <c r="C28" i="4" s="1"/>
  <c r="A29" i="4"/>
  <c r="A30" i="4"/>
  <c r="A31" i="4"/>
  <c r="C31" i="4" s="1"/>
  <c r="A32" i="4"/>
  <c r="C32" i="4" s="1"/>
  <c r="A33" i="4"/>
  <c r="C33" i="4" s="1"/>
  <c r="A34" i="4"/>
  <c r="A35" i="4"/>
  <c r="C35" i="4" s="1"/>
  <c r="A36" i="4"/>
  <c r="C36" i="4" s="1"/>
  <c r="A37" i="4"/>
  <c r="A38" i="4"/>
  <c r="A39" i="4"/>
  <c r="C6" i="4"/>
  <c r="C14" i="4"/>
  <c r="C15" i="4"/>
  <c r="C18" i="4"/>
  <c r="C21" i="4"/>
  <c r="C22" i="4"/>
  <c r="C23" i="4"/>
  <c r="C29" i="4"/>
  <c r="C30" i="4"/>
  <c r="C34" i="4"/>
  <c r="C37" i="4"/>
  <c r="C38" i="4"/>
  <c r="C39" i="4"/>
  <c r="G7" i="4"/>
  <c r="G6" i="4"/>
  <c r="C7" i="4"/>
  <c r="C5" i="4"/>
  <c r="E3" i="3"/>
  <c r="F3" i="3" s="1"/>
  <c r="D3" i="3"/>
  <c r="H55" i="3"/>
  <c r="H48" i="3"/>
  <c r="K26" i="3" l="1"/>
  <c r="K25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F3" i="4"/>
  <c r="C3" i="4"/>
</calcChain>
</file>

<file path=xl/sharedStrings.xml><?xml version="1.0" encoding="utf-8"?>
<sst xmlns="http://schemas.openxmlformats.org/spreadsheetml/2006/main" count="43" uniqueCount="16">
  <si>
    <t>min</t>
  </si>
  <si>
    <t>max</t>
  </si>
  <si>
    <t>RPM</t>
  </si>
  <si>
    <t>PWM</t>
  </si>
  <si>
    <t>PWM [%]</t>
  </si>
  <si>
    <t>a</t>
  </si>
  <si>
    <t>e</t>
  </si>
  <si>
    <t>h</t>
  </si>
  <si>
    <t>A</t>
  </si>
  <si>
    <t>B</t>
  </si>
  <si>
    <t>C</t>
  </si>
  <si>
    <t>DEFAULT_SPINDLE_RPM_MAX</t>
  </si>
  <si>
    <t>DEFAULT_SPINDLE_RPM_MIN</t>
  </si>
  <si>
    <t>D</t>
  </si>
  <si>
    <t>PWM %</t>
  </si>
  <si>
    <t>Measured on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</si>
</sst>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6" xfId="0" applyBorder="1"/>
    <xf numFmtId="11" fontId="1" fillId="0" borderId="1" xfId="0" applyNumberFormat="1" applyFont="1" applyBorder="1"/>
    <xf numFmtId="0" fontId="1" fillId="0" borderId="3" xfId="0" applyFont="1" applyBorder="1"/>
    <xf numFmtId="0" fontId="1" fillId="0" borderId="5" xfId="0" applyFont="1" applyBorder="1"/>
    <xf numFmtId="0" fontId="0" fillId="2" borderId="0" xfId="0" applyFill="1"/>
    <xf numFmtId="0" fontId="0" fillId="2" borderId="1" xfId="0" applyFill="1" applyBorder="1"/>
    <xf numFmtId="0" fontId="0" fillId="2" borderId="3" xfId="0" applyFill="1" applyBorder="1"/>
    <xf numFmtId="3" fontId="1" fillId="0" borderId="5" xfId="0" applyNumberFormat="1" applyFont="1" applyBorder="1"/>
    <xf numFmtId="2" fontId="0" fillId="0" borderId="0" xfId="0" applyNumberFormat="1"/>
    <xf numFmtId="11" fontId="0" fillId="0" borderId="3" xfId="0" applyNumberFormat="1" applyBorder="1"/>
    <xf numFmtId="0" fontId="0" fillId="0" borderId="0" xfId="0" applyFill="1" applyBorder="1"/>
    <xf numFmtId="0" fontId="1" fillId="0" borderId="5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'set RPM to measured RPM'!$B$8:$B$25</c:f>
              <c:numCache>
                <c:formatCode>General</c:formatCode>
                <c:ptCount val="18"/>
                <c:pt idx="0">
                  <c:v>5202</c:v>
                </c:pt>
                <c:pt idx="1">
                  <c:v>5736</c:v>
                </c:pt>
                <c:pt idx="2">
                  <c:v>6157</c:v>
                </c:pt>
                <c:pt idx="3">
                  <c:v>6585</c:v>
                </c:pt>
                <c:pt idx="4">
                  <c:v>6972</c:v>
                </c:pt>
                <c:pt idx="5">
                  <c:v>7296</c:v>
                </c:pt>
                <c:pt idx="6">
                  <c:v>8699</c:v>
                </c:pt>
                <c:pt idx="7">
                  <c:v>9950</c:v>
                </c:pt>
                <c:pt idx="8">
                  <c:v>11180</c:v>
                </c:pt>
                <c:pt idx="9">
                  <c:v>12432</c:v>
                </c:pt>
                <c:pt idx="10">
                  <c:v>13752</c:v>
                </c:pt>
                <c:pt idx="11">
                  <c:v>15070</c:v>
                </c:pt>
                <c:pt idx="12">
                  <c:v>16472</c:v>
                </c:pt>
                <c:pt idx="13">
                  <c:v>17889</c:v>
                </c:pt>
                <c:pt idx="14">
                  <c:v>19393</c:v>
                </c:pt>
                <c:pt idx="15">
                  <c:v>20947</c:v>
                </c:pt>
                <c:pt idx="16">
                  <c:v>22592</c:v>
                </c:pt>
                <c:pt idx="17">
                  <c:v>24092</c:v>
                </c:pt>
              </c:numCache>
            </c:numRef>
          </c:xVal>
          <c:yVal>
            <c:numRef>
              <c:f>'set RPM to measured RPM'!$E$8:$E$25</c:f>
              <c:numCache>
                <c:formatCode>General</c:formatCode>
                <c:ptCount val="1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35</c:v>
                </c:pt>
                <c:pt idx="11">
                  <c:v>40</c:v>
                </c:pt>
                <c:pt idx="12">
                  <c:v>45</c:v>
                </c:pt>
                <c:pt idx="13">
                  <c:v>50</c:v>
                </c:pt>
                <c:pt idx="14">
                  <c:v>55</c:v>
                </c:pt>
                <c:pt idx="15">
                  <c:v>60</c:v>
                </c:pt>
                <c:pt idx="16">
                  <c:v>65</c:v>
                </c:pt>
                <c:pt idx="17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C-4D8E-B40C-B127AA73C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50080"/>
        <c:axId val="511451520"/>
      </c:scatterChart>
      <c:valAx>
        <c:axId val="51145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451520"/>
        <c:crosses val="autoZero"/>
        <c:crossBetween val="midCat"/>
      </c:valAx>
      <c:valAx>
        <c:axId val="5114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45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5782407407407409"/>
          <c:w val="0.8711968503937007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8.8890638670166236E-2"/>
                  <c:y val="-2.730023330417031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'set RPM to measured RPM'!$B$5:$B$25</c:f>
              <c:numCache>
                <c:formatCode>General</c:formatCode>
                <c:ptCount val="21"/>
                <c:pt idx="0">
                  <c:v>2237</c:v>
                </c:pt>
                <c:pt idx="1">
                  <c:v>3520</c:v>
                </c:pt>
                <c:pt idx="2">
                  <c:v>4441</c:v>
                </c:pt>
                <c:pt idx="3">
                  <c:v>5202</c:v>
                </c:pt>
                <c:pt idx="4">
                  <c:v>5736</c:v>
                </c:pt>
                <c:pt idx="5">
                  <c:v>6157</c:v>
                </c:pt>
                <c:pt idx="6">
                  <c:v>6585</c:v>
                </c:pt>
                <c:pt idx="7">
                  <c:v>6972</c:v>
                </c:pt>
                <c:pt idx="8">
                  <c:v>7296</c:v>
                </c:pt>
                <c:pt idx="9">
                  <c:v>8699</c:v>
                </c:pt>
                <c:pt idx="10">
                  <c:v>9950</c:v>
                </c:pt>
                <c:pt idx="11">
                  <c:v>11180</c:v>
                </c:pt>
                <c:pt idx="12">
                  <c:v>12432</c:v>
                </c:pt>
                <c:pt idx="13">
                  <c:v>13752</c:v>
                </c:pt>
                <c:pt idx="14">
                  <c:v>15070</c:v>
                </c:pt>
                <c:pt idx="15">
                  <c:v>16472</c:v>
                </c:pt>
                <c:pt idx="16">
                  <c:v>17889</c:v>
                </c:pt>
                <c:pt idx="17">
                  <c:v>19393</c:v>
                </c:pt>
                <c:pt idx="18">
                  <c:v>20947</c:v>
                </c:pt>
                <c:pt idx="19">
                  <c:v>22592</c:v>
                </c:pt>
                <c:pt idx="20">
                  <c:v>24092</c:v>
                </c:pt>
              </c:numCache>
            </c:numRef>
          </c:xVal>
          <c:yVal>
            <c:numRef>
              <c:f>'set RPM to measured RPM'!$E$5:$E$25</c:f>
              <c:numCache>
                <c:formatCode>General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  <c:pt idx="11">
                  <c:v>25</c:v>
                </c:pt>
                <c:pt idx="12">
                  <c:v>30</c:v>
                </c:pt>
                <c:pt idx="13">
                  <c:v>35</c:v>
                </c:pt>
                <c:pt idx="14">
                  <c:v>40</c:v>
                </c:pt>
                <c:pt idx="15">
                  <c:v>45</c:v>
                </c:pt>
                <c:pt idx="16">
                  <c:v>50</c:v>
                </c:pt>
                <c:pt idx="17">
                  <c:v>55</c:v>
                </c:pt>
                <c:pt idx="18">
                  <c:v>60</c:v>
                </c:pt>
                <c:pt idx="19">
                  <c:v>65</c:v>
                </c:pt>
                <c:pt idx="20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74-4BB8-84E0-99AAF2AB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50080"/>
        <c:axId val="511451520"/>
      </c:scatterChart>
      <c:valAx>
        <c:axId val="51145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451520"/>
        <c:crosses val="autoZero"/>
        <c:crossBetween val="midCat"/>
      </c:valAx>
      <c:valAx>
        <c:axId val="5114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45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5782407407407409"/>
          <c:w val="0.8711968503937007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2237"/>
            <c:intercept val="0"/>
            <c:dispRSqr val="1"/>
            <c:dispEq val="1"/>
            <c:trendlineLbl>
              <c:layout>
                <c:manualLayout>
                  <c:x val="-8.8890638670166236E-2"/>
                  <c:y val="-2.730023330417031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'set RPM to measured RPM'!$B$5:$B$25</c:f>
              <c:numCache>
                <c:formatCode>General</c:formatCode>
                <c:ptCount val="21"/>
                <c:pt idx="0">
                  <c:v>2237</c:v>
                </c:pt>
                <c:pt idx="1">
                  <c:v>3520</c:v>
                </c:pt>
                <c:pt idx="2">
                  <c:v>4441</c:v>
                </c:pt>
                <c:pt idx="3">
                  <c:v>5202</c:v>
                </c:pt>
                <c:pt idx="4">
                  <c:v>5736</c:v>
                </c:pt>
                <c:pt idx="5">
                  <c:v>6157</c:v>
                </c:pt>
                <c:pt idx="6">
                  <c:v>6585</c:v>
                </c:pt>
                <c:pt idx="7">
                  <c:v>6972</c:v>
                </c:pt>
                <c:pt idx="8">
                  <c:v>7296</c:v>
                </c:pt>
                <c:pt idx="9">
                  <c:v>8699</c:v>
                </c:pt>
                <c:pt idx="10">
                  <c:v>9950</c:v>
                </c:pt>
                <c:pt idx="11">
                  <c:v>11180</c:v>
                </c:pt>
                <c:pt idx="12">
                  <c:v>12432</c:v>
                </c:pt>
                <c:pt idx="13">
                  <c:v>13752</c:v>
                </c:pt>
                <c:pt idx="14">
                  <c:v>15070</c:v>
                </c:pt>
                <c:pt idx="15">
                  <c:v>16472</c:v>
                </c:pt>
                <c:pt idx="16">
                  <c:v>17889</c:v>
                </c:pt>
                <c:pt idx="17">
                  <c:v>19393</c:v>
                </c:pt>
                <c:pt idx="18">
                  <c:v>20947</c:v>
                </c:pt>
                <c:pt idx="19">
                  <c:v>22592</c:v>
                </c:pt>
                <c:pt idx="20">
                  <c:v>24092</c:v>
                </c:pt>
              </c:numCache>
            </c:numRef>
          </c:xVal>
          <c:yVal>
            <c:numRef>
              <c:f>'set RPM to measured RPM'!$E$5:$E$25</c:f>
              <c:numCache>
                <c:formatCode>General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  <c:pt idx="11">
                  <c:v>25</c:v>
                </c:pt>
                <c:pt idx="12">
                  <c:v>30</c:v>
                </c:pt>
                <c:pt idx="13">
                  <c:v>35</c:v>
                </c:pt>
                <c:pt idx="14">
                  <c:v>40</c:v>
                </c:pt>
                <c:pt idx="15">
                  <c:v>45</c:v>
                </c:pt>
                <c:pt idx="16">
                  <c:v>50</c:v>
                </c:pt>
                <c:pt idx="17">
                  <c:v>55</c:v>
                </c:pt>
                <c:pt idx="18">
                  <c:v>60</c:v>
                </c:pt>
                <c:pt idx="19">
                  <c:v>65</c:v>
                </c:pt>
                <c:pt idx="20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8-49C6-84C2-9BB3AA9A1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50080"/>
        <c:axId val="511451520"/>
      </c:scatterChart>
      <c:valAx>
        <c:axId val="51145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451520"/>
        <c:crosses val="autoZero"/>
        <c:crossBetween val="midCat"/>
      </c:valAx>
      <c:valAx>
        <c:axId val="5114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45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5782407407407409"/>
          <c:w val="0.8711968503937007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8.8890638670166236E-2"/>
                  <c:y val="-2.730023330417031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'set RPM to measured RPM'!$B$5:$B$25</c:f>
              <c:numCache>
                <c:formatCode>General</c:formatCode>
                <c:ptCount val="21"/>
                <c:pt idx="0">
                  <c:v>2237</c:v>
                </c:pt>
                <c:pt idx="1">
                  <c:v>3520</c:v>
                </c:pt>
                <c:pt idx="2">
                  <c:v>4441</c:v>
                </c:pt>
                <c:pt idx="3">
                  <c:v>5202</c:v>
                </c:pt>
                <c:pt idx="4">
                  <c:v>5736</c:v>
                </c:pt>
                <c:pt idx="5">
                  <c:v>6157</c:v>
                </c:pt>
                <c:pt idx="6">
                  <c:v>6585</c:v>
                </c:pt>
                <c:pt idx="7">
                  <c:v>6972</c:v>
                </c:pt>
                <c:pt idx="8">
                  <c:v>7296</c:v>
                </c:pt>
                <c:pt idx="9">
                  <c:v>8699</c:v>
                </c:pt>
                <c:pt idx="10">
                  <c:v>9950</c:v>
                </c:pt>
                <c:pt idx="11">
                  <c:v>11180</c:v>
                </c:pt>
                <c:pt idx="12">
                  <c:v>12432</c:v>
                </c:pt>
                <c:pt idx="13">
                  <c:v>13752</c:v>
                </c:pt>
                <c:pt idx="14">
                  <c:v>15070</c:v>
                </c:pt>
                <c:pt idx="15">
                  <c:v>16472</c:v>
                </c:pt>
                <c:pt idx="16">
                  <c:v>17889</c:v>
                </c:pt>
                <c:pt idx="17">
                  <c:v>19393</c:v>
                </c:pt>
                <c:pt idx="18">
                  <c:v>20947</c:v>
                </c:pt>
                <c:pt idx="19">
                  <c:v>22592</c:v>
                </c:pt>
                <c:pt idx="20">
                  <c:v>24092</c:v>
                </c:pt>
              </c:numCache>
            </c:numRef>
          </c:xVal>
          <c:yVal>
            <c:numRef>
              <c:f>'set RPM to measured RPM'!$E$5:$E$25</c:f>
              <c:numCache>
                <c:formatCode>General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  <c:pt idx="11">
                  <c:v>25</c:v>
                </c:pt>
                <c:pt idx="12">
                  <c:v>30</c:v>
                </c:pt>
                <c:pt idx="13">
                  <c:v>35</c:v>
                </c:pt>
                <c:pt idx="14">
                  <c:v>40</c:v>
                </c:pt>
                <c:pt idx="15">
                  <c:v>45</c:v>
                </c:pt>
                <c:pt idx="16">
                  <c:v>50</c:v>
                </c:pt>
                <c:pt idx="17">
                  <c:v>55</c:v>
                </c:pt>
                <c:pt idx="18">
                  <c:v>60</c:v>
                </c:pt>
                <c:pt idx="19">
                  <c:v>65</c:v>
                </c:pt>
                <c:pt idx="20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80-4F09-B79A-615F0C216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50080"/>
        <c:axId val="511451520"/>
      </c:scatterChart>
      <c:valAx>
        <c:axId val="51145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451520"/>
        <c:crosses val="autoZero"/>
        <c:crossBetween val="midCat"/>
      </c:valAx>
      <c:valAx>
        <c:axId val="5114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45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77731814963292E-2"/>
                  <c:y val="-6.52314814814814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_delete!$B$5:$B$35</c:f>
              <c:numCache>
                <c:formatCode>General</c:formatCode>
                <c:ptCount val="31"/>
                <c:pt idx="0">
                  <c:v>2273</c:v>
                </c:pt>
                <c:pt idx="1">
                  <c:v>3531</c:v>
                </c:pt>
                <c:pt idx="2">
                  <c:v>4425</c:v>
                </c:pt>
                <c:pt idx="3">
                  <c:v>5157</c:v>
                </c:pt>
                <c:pt idx="4">
                  <c:v>6125</c:v>
                </c:pt>
                <c:pt idx="5">
                  <c:v>6516</c:v>
                </c:pt>
                <c:pt idx="6">
                  <c:v>6899</c:v>
                </c:pt>
                <c:pt idx="7">
                  <c:v>7225</c:v>
                </c:pt>
                <c:pt idx="8">
                  <c:v>7808</c:v>
                </c:pt>
                <c:pt idx="9">
                  <c:v>8081</c:v>
                </c:pt>
                <c:pt idx="10">
                  <c:v>8371</c:v>
                </c:pt>
                <c:pt idx="11">
                  <c:v>8630</c:v>
                </c:pt>
                <c:pt idx="12">
                  <c:v>8883</c:v>
                </c:pt>
                <c:pt idx="13">
                  <c:v>9132</c:v>
                </c:pt>
                <c:pt idx="14">
                  <c:v>9409</c:v>
                </c:pt>
                <c:pt idx="15">
                  <c:v>9897</c:v>
                </c:pt>
                <c:pt idx="16">
                  <c:v>10403</c:v>
                </c:pt>
                <c:pt idx="17">
                  <c:v>10652</c:v>
                </c:pt>
                <c:pt idx="18">
                  <c:v>10897</c:v>
                </c:pt>
                <c:pt idx="19">
                  <c:v>11636</c:v>
                </c:pt>
                <c:pt idx="20">
                  <c:v>12654</c:v>
                </c:pt>
                <c:pt idx="21">
                  <c:v>13692</c:v>
                </c:pt>
                <c:pt idx="22">
                  <c:v>14736</c:v>
                </c:pt>
                <c:pt idx="23">
                  <c:v>15825</c:v>
                </c:pt>
                <c:pt idx="24">
                  <c:v>16950</c:v>
                </c:pt>
                <c:pt idx="25">
                  <c:v>17825</c:v>
                </c:pt>
                <c:pt idx="26">
                  <c:v>19012</c:v>
                </c:pt>
                <c:pt idx="27">
                  <c:v>20236</c:v>
                </c:pt>
                <c:pt idx="28">
                  <c:v>21510</c:v>
                </c:pt>
                <c:pt idx="29">
                  <c:v>22851</c:v>
                </c:pt>
                <c:pt idx="30">
                  <c:v>24099</c:v>
                </c:pt>
              </c:numCache>
            </c:numRef>
          </c:xVal>
          <c:yVal>
            <c:numRef>
              <c:f>_delete!$D$5:$D$35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19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26</c:v>
                </c:pt>
                <c:pt idx="20">
                  <c:v>30</c:v>
                </c:pt>
                <c:pt idx="21">
                  <c:v>34</c:v>
                </c:pt>
                <c:pt idx="22">
                  <c:v>38</c:v>
                </c:pt>
                <c:pt idx="23">
                  <c:v>42</c:v>
                </c:pt>
                <c:pt idx="24">
                  <c:v>46</c:v>
                </c:pt>
                <c:pt idx="25">
                  <c:v>50</c:v>
                </c:pt>
                <c:pt idx="26">
                  <c:v>53</c:v>
                </c:pt>
                <c:pt idx="27">
                  <c:v>57</c:v>
                </c:pt>
                <c:pt idx="28">
                  <c:v>61</c:v>
                </c:pt>
                <c:pt idx="29">
                  <c:v>65</c:v>
                </c:pt>
                <c:pt idx="30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1C-44F3-8E6F-BAD83F34F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075520"/>
        <c:axId val="418075880"/>
      </c:scatterChart>
      <c:valAx>
        <c:axId val="41807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8075880"/>
        <c:crosses val="autoZero"/>
        <c:crossBetween val="midCat"/>
      </c:valAx>
      <c:valAx>
        <c:axId val="41807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807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9.877731814963292E-2"/>
                  <c:y val="-6.52314814814814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_delete!$B$5:$B$35</c:f>
              <c:numCache>
                <c:formatCode>General</c:formatCode>
                <c:ptCount val="31"/>
                <c:pt idx="0">
                  <c:v>2273</c:v>
                </c:pt>
                <c:pt idx="1">
                  <c:v>3531</c:v>
                </c:pt>
                <c:pt idx="2">
                  <c:v>4425</c:v>
                </c:pt>
                <c:pt idx="3">
                  <c:v>5157</c:v>
                </c:pt>
                <c:pt idx="4">
                  <c:v>6125</c:v>
                </c:pt>
                <c:pt idx="5">
                  <c:v>6516</c:v>
                </c:pt>
                <c:pt idx="6">
                  <c:v>6899</c:v>
                </c:pt>
                <c:pt idx="7">
                  <c:v>7225</c:v>
                </c:pt>
                <c:pt idx="8">
                  <c:v>7808</c:v>
                </c:pt>
                <c:pt idx="9">
                  <c:v>8081</c:v>
                </c:pt>
                <c:pt idx="10">
                  <c:v>8371</c:v>
                </c:pt>
                <c:pt idx="11">
                  <c:v>8630</c:v>
                </c:pt>
                <c:pt idx="12">
                  <c:v>8883</c:v>
                </c:pt>
                <c:pt idx="13">
                  <c:v>9132</c:v>
                </c:pt>
                <c:pt idx="14">
                  <c:v>9409</c:v>
                </c:pt>
                <c:pt idx="15">
                  <c:v>9897</c:v>
                </c:pt>
                <c:pt idx="16">
                  <c:v>10403</c:v>
                </c:pt>
                <c:pt idx="17">
                  <c:v>10652</c:v>
                </c:pt>
                <c:pt idx="18">
                  <c:v>10897</c:v>
                </c:pt>
                <c:pt idx="19">
                  <c:v>11636</c:v>
                </c:pt>
                <c:pt idx="20">
                  <c:v>12654</c:v>
                </c:pt>
                <c:pt idx="21">
                  <c:v>13692</c:v>
                </c:pt>
                <c:pt idx="22">
                  <c:v>14736</c:v>
                </c:pt>
                <c:pt idx="23">
                  <c:v>15825</c:v>
                </c:pt>
                <c:pt idx="24">
                  <c:v>16950</c:v>
                </c:pt>
                <c:pt idx="25">
                  <c:v>17825</c:v>
                </c:pt>
                <c:pt idx="26">
                  <c:v>19012</c:v>
                </c:pt>
                <c:pt idx="27">
                  <c:v>20236</c:v>
                </c:pt>
                <c:pt idx="28">
                  <c:v>21510</c:v>
                </c:pt>
                <c:pt idx="29">
                  <c:v>22851</c:v>
                </c:pt>
                <c:pt idx="30">
                  <c:v>24099</c:v>
                </c:pt>
              </c:numCache>
            </c:numRef>
          </c:xVal>
          <c:yVal>
            <c:numRef>
              <c:f>_delete!$D$5:$D$35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19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26</c:v>
                </c:pt>
                <c:pt idx="20">
                  <c:v>30</c:v>
                </c:pt>
                <c:pt idx="21">
                  <c:v>34</c:v>
                </c:pt>
                <c:pt idx="22">
                  <c:v>38</c:v>
                </c:pt>
                <c:pt idx="23">
                  <c:v>42</c:v>
                </c:pt>
                <c:pt idx="24">
                  <c:v>46</c:v>
                </c:pt>
                <c:pt idx="25">
                  <c:v>50</c:v>
                </c:pt>
                <c:pt idx="26">
                  <c:v>53</c:v>
                </c:pt>
                <c:pt idx="27">
                  <c:v>57</c:v>
                </c:pt>
                <c:pt idx="28">
                  <c:v>61</c:v>
                </c:pt>
                <c:pt idx="29">
                  <c:v>65</c:v>
                </c:pt>
                <c:pt idx="30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A9-434E-9C1A-6FF893F7A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075520"/>
        <c:axId val="418075880"/>
      </c:scatterChart>
      <c:valAx>
        <c:axId val="41807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8075880"/>
        <c:crosses val="autoZero"/>
        <c:crossBetween val="midCat"/>
      </c:valAx>
      <c:valAx>
        <c:axId val="41807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807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395287</xdr:colOff>
      <xdr:row>4</xdr:row>
      <xdr:rowOff>138112</xdr:rowOff>
    </xdr:from>
    <xdr:to>
      <xdr:col>14</xdr:col>
      <xdr:colOff>1728787</xdr:colOff>
      <xdr:row>19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84EAEB-C7E5-7ECE-CDD1-9020C7CFB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857250</xdr:colOff>
      <xdr:row>27</xdr:row>
      <xdr:rowOff>180975</xdr:rowOff>
    </xdr:from>
    <xdr:to>
      <xdr:col>20</xdr:col>
      <xdr:colOff>533400</xdr:colOff>
      <xdr:row>42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8EE7B9-CBBF-42B7-9B7D-4C4906F86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247650</xdr:colOff>
      <xdr:row>28</xdr:row>
      <xdr:rowOff>28575</xdr:rowOff>
    </xdr:from>
    <xdr:to>
      <xdr:col>14</xdr:col>
      <xdr:colOff>361950</xdr:colOff>
      <xdr:row>42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71A990-FCF3-41E5-BCE6-1C5FA0E24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57</xdr:row>
      <xdr:rowOff>28575</xdr:rowOff>
    </xdr:from>
    <xdr:to>
      <xdr:col>16</xdr:col>
      <xdr:colOff>104775</xdr:colOff>
      <xdr:row>71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451C7A-EA5C-47EE-8733-6EA1940EF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6</xdr:row>
      <xdr:rowOff>138112</xdr:rowOff>
    </xdr:from>
    <xdr:to>
      <xdr:col>13</xdr:col>
      <xdr:colOff>190500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5EFD4-5847-467B-869C-75FDEC788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</xdr:colOff>
      <xdr:row>28</xdr:row>
      <xdr:rowOff>0</xdr:rowOff>
    </xdr:from>
    <xdr:to>
      <xdr:col>13</xdr:col>
      <xdr:colOff>333375</xdr:colOff>
      <xdr:row>42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A01124-4979-4F49-AAD2-BD90EC4DD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7A5A-256B-47B1-93F2-FBDBDCB2DE25}">
  <dimension ref="A1:R56"/>
  <sheetViews>
    <sheetView tabSelected="1" topLeftCell="A28" workbookViewId="0">
      <selection activeCell="M55" sqref="M55"/>
    </sheetView>
  </sheetViews>
  <sheetFormatPr defaultRowHeight="15" x14ac:dyDescent="0.25"/>
  <cols>
    <col min="14" max="14" width="12" bestFit="1" customWidth="1"/>
    <col min="15" max="15" width="27.7109375" bestFit="1" customWidth="1"/>
    <col min="18" max="18" width="19.5703125" bestFit="1" customWidth="1"/>
  </cols>
  <sheetData>
    <row r="1" spans="1:8" x14ac:dyDescent="0.25">
      <c r="D1" t="s">
        <v>4</v>
      </c>
    </row>
    <row r="2" spans="1:8" x14ac:dyDescent="0.25">
      <c r="A2" t="s">
        <v>5</v>
      </c>
      <c r="B2" t="s">
        <v>6</v>
      </c>
      <c r="C2" t="s">
        <v>7</v>
      </c>
    </row>
    <row r="3" spans="1:8" x14ac:dyDescent="0.25">
      <c r="A3">
        <f>$H$3+((($H$4-$H$3)/100)*E3)</f>
        <v>4035</v>
      </c>
      <c r="B3" s="8">
        <v>0</v>
      </c>
      <c r="C3">
        <f t="shared" ref="C3" si="0">B3-A3</f>
        <v>-4035</v>
      </c>
      <c r="D3" s="8"/>
      <c r="E3">
        <v>0</v>
      </c>
      <c r="F3">
        <f>100-E3</f>
        <v>100</v>
      </c>
      <c r="G3" t="s">
        <v>0</v>
      </c>
      <c r="H3" s="8">
        <v>4035</v>
      </c>
    </row>
    <row r="4" spans="1:8" x14ac:dyDescent="0.25">
      <c r="A4">
        <f>$H$3+((($H$4-$H$3)/100)*E4)</f>
        <v>4320.72</v>
      </c>
      <c r="B4" s="8">
        <v>398</v>
      </c>
      <c r="C4">
        <f>B4-A4</f>
        <v>-3922.7200000000003</v>
      </c>
      <c r="D4" s="8"/>
      <c r="E4">
        <v>1</v>
      </c>
      <c r="F4">
        <f t="shared" ref="F4:F39" si="1">100-E4</f>
        <v>99</v>
      </c>
      <c r="G4" t="s">
        <v>1</v>
      </c>
      <c r="H4" s="8">
        <v>32607</v>
      </c>
    </row>
    <row r="5" spans="1:8" x14ac:dyDescent="0.25">
      <c r="A5">
        <f>$H$3+((($H$4-$H$3)/100)*E5)</f>
        <v>4606.4400000000005</v>
      </c>
      <c r="B5" s="8">
        <v>2237</v>
      </c>
      <c r="C5">
        <f>B5-A5</f>
        <v>-2369.4400000000005</v>
      </c>
      <c r="D5" s="8"/>
      <c r="E5">
        <v>2</v>
      </c>
      <c r="F5">
        <f t="shared" si="1"/>
        <v>98</v>
      </c>
    </row>
    <row r="6" spans="1:8" x14ac:dyDescent="0.25">
      <c r="A6">
        <f>$H$3+((($H$4-$H$3)/100)*E6)</f>
        <v>4892.16</v>
      </c>
      <c r="B6" s="8">
        <v>3520</v>
      </c>
      <c r="C6">
        <f>B6-A6</f>
        <v>-1372.1599999999999</v>
      </c>
      <c r="D6" s="8"/>
      <c r="E6">
        <v>3</v>
      </c>
      <c r="F6">
        <f t="shared" si="1"/>
        <v>97</v>
      </c>
      <c r="G6">
        <f>(H4-H3)/100</f>
        <v>285.72000000000003</v>
      </c>
    </row>
    <row r="7" spans="1:8" x14ac:dyDescent="0.25">
      <c r="A7">
        <f>$H$3+((($H$4-$H$3)/100)*E7)</f>
        <v>5177.88</v>
      </c>
      <c r="B7" s="8">
        <v>4441</v>
      </c>
      <c r="C7">
        <f>B7-A7</f>
        <v>-736.88000000000011</v>
      </c>
      <c r="D7" s="8"/>
      <c r="E7">
        <v>4</v>
      </c>
      <c r="F7">
        <f t="shared" si="1"/>
        <v>96</v>
      </c>
      <c r="G7">
        <f>H3+G6</f>
        <v>4320.72</v>
      </c>
    </row>
    <row r="8" spans="1:8" x14ac:dyDescent="0.25">
      <c r="A8">
        <f>$H$3+((($H$4-$H$3)/100)*E8)</f>
        <v>5463.6</v>
      </c>
      <c r="B8" s="8">
        <v>5202</v>
      </c>
      <c r="C8">
        <f>B8-A8</f>
        <v>-261.60000000000036</v>
      </c>
      <c r="D8" s="8">
        <v>95</v>
      </c>
      <c r="E8">
        <v>5</v>
      </c>
      <c r="F8">
        <f t="shared" si="1"/>
        <v>95</v>
      </c>
    </row>
    <row r="9" spans="1:8" x14ac:dyDescent="0.25">
      <c r="A9">
        <f>$H$3+((($H$4-$H$3)/100)*E9)</f>
        <v>5749.32</v>
      </c>
      <c r="B9" s="8">
        <v>5736</v>
      </c>
      <c r="C9">
        <f>B9-A9</f>
        <v>-13.319999999999709</v>
      </c>
      <c r="D9" s="8"/>
      <c r="E9">
        <v>6</v>
      </c>
      <c r="F9">
        <f t="shared" si="1"/>
        <v>94</v>
      </c>
    </row>
    <row r="10" spans="1:8" x14ac:dyDescent="0.25">
      <c r="A10">
        <f>$H$3+((($H$4-$H$3)/100)*E10)</f>
        <v>6035.04</v>
      </c>
      <c r="B10" s="8">
        <v>6157</v>
      </c>
      <c r="C10">
        <f>B10-A10</f>
        <v>121.96000000000004</v>
      </c>
      <c r="D10" s="8"/>
      <c r="E10">
        <v>7</v>
      </c>
      <c r="F10">
        <f t="shared" si="1"/>
        <v>93</v>
      </c>
    </row>
    <row r="11" spans="1:8" x14ac:dyDescent="0.25">
      <c r="A11">
        <f>$H$3+((($H$4-$H$3)/100)*E11)</f>
        <v>6320.76</v>
      </c>
      <c r="B11" s="8">
        <v>6585</v>
      </c>
      <c r="C11">
        <f>B11-A11</f>
        <v>264.23999999999978</v>
      </c>
      <c r="D11" s="8"/>
      <c r="E11">
        <v>8</v>
      </c>
      <c r="F11">
        <f t="shared" si="1"/>
        <v>92</v>
      </c>
    </row>
    <row r="12" spans="1:8" x14ac:dyDescent="0.25">
      <c r="A12">
        <f>$H$3+((($H$4-$H$3)/100)*E12)</f>
        <v>6606.4800000000005</v>
      </c>
      <c r="B12" s="8">
        <v>6972</v>
      </c>
      <c r="C12">
        <f>B12-A12</f>
        <v>365.51999999999953</v>
      </c>
      <c r="D12" s="8"/>
      <c r="E12">
        <v>9</v>
      </c>
      <c r="F12">
        <f t="shared" si="1"/>
        <v>91</v>
      </c>
    </row>
    <row r="13" spans="1:8" x14ac:dyDescent="0.25">
      <c r="A13">
        <f>$H$3+((($H$4-$H$3)/100)*E13)</f>
        <v>6892.2000000000007</v>
      </c>
      <c r="B13" s="8">
        <v>7296</v>
      </c>
      <c r="C13">
        <f>B13-A13</f>
        <v>403.79999999999927</v>
      </c>
      <c r="D13" s="8"/>
      <c r="E13">
        <v>10</v>
      </c>
      <c r="F13">
        <f t="shared" si="1"/>
        <v>90</v>
      </c>
    </row>
    <row r="14" spans="1:8" x14ac:dyDescent="0.25">
      <c r="A14">
        <f>$H$3+((($H$4-$H$3)/100)*E14)</f>
        <v>8320.7999999999993</v>
      </c>
      <c r="B14" s="8">
        <v>8699</v>
      </c>
      <c r="C14">
        <f>B14-A14</f>
        <v>378.20000000000073</v>
      </c>
      <c r="D14" s="8"/>
      <c r="E14">
        <v>15</v>
      </c>
      <c r="F14">
        <f t="shared" si="1"/>
        <v>85</v>
      </c>
    </row>
    <row r="15" spans="1:8" x14ac:dyDescent="0.25">
      <c r="A15">
        <f>$H$3+((($H$4-$H$3)/100)*E15)</f>
        <v>9749.4000000000015</v>
      </c>
      <c r="B15" s="8">
        <v>9950</v>
      </c>
      <c r="C15">
        <f>B15-A15</f>
        <v>200.59999999999854</v>
      </c>
      <c r="D15" s="8"/>
      <c r="E15">
        <v>20</v>
      </c>
      <c r="F15">
        <f t="shared" si="1"/>
        <v>80</v>
      </c>
    </row>
    <row r="16" spans="1:8" x14ac:dyDescent="0.25">
      <c r="A16">
        <f>$H$3+((($H$4-$H$3)/100)*E16)</f>
        <v>11178</v>
      </c>
      <c r="B16" s="8">
        <v>11180</v>
      </c>
      <c r="C16">
        <f>B16-A16</f>
        <v>2</v>
      </c>
      <c r="D16" s="8">
        <v>75</v>
      </c>
      <c r="E16">
        <v>25</v>
      </c>
      <c r="F16">
        <f t="shared" si="1"/>
        <v>75</v>
      </c>
    </row>
    <row r="17" spans="1:15" x14ac:dyDescent="0.25">
      <c r="A17">
        <f>$H$3+((($H$4-$H$3)/100)*E17)</f>
        <v>12606.6</v>
      </c>
      <c r="B17" s="8">
        <v>12432</v>
      </c>
      <c r="C17">
        <f>B17-A17</f>
        <v>-174.60000000000036</v>
      </c>
      <c r="D17" s="8"/>
      <c r="E17">
        <v>30</v>
      </c>
      <c r="F17">
        <f t="shared" si="1"/>
        <v>70</v>
      </c>
    </row>
    <row r="18" spans="1:15" x14ac:dyDescent="0.25">
      <c r="A18">
        <f>$H$3+((($H$4-$H$3)/100)*E18)</f>
        <v>14035.2</v>
      </c>
      <c r="B18" s="8">
        <v>13752</v>
      </c>
      <c r="C18">
        <f>B18-A18</f>
        <v>-283.20000000000073</v>
      </c>
      <c r="D18" s="8"/>
      <c r="E18">
        <v>35</v>
      </c>
      <c r="F18">
        <f t="shared" si="1"/>
        <v>65</v>
      </c>
    </row>
    <row r="19" spans="1:15" x14ac:dyDescent="0.25">
      <c r="A19">
        <f>$H$3+((($H$4-$H$3)/100)*E19)</f>
        <v>15463.800000000001</v>
      </c>
      <c r="B19" s="8">
        <v>15070</v>
      </c>
      <c r="C19">
        <f>B19-A19</f>
        <v>-393.80000000000109</v>
      </c>
      <c r="D19" s="8"/>
      <c r="E19">
        <v>40</v>
      </c>
      <c r="F19">
        <f t="shared" si="1"/>
        <v>60</v>
      </c>
    </row>
    <row r="20" spans="1:15" x14ac:dyDescent="0.25">
      <c r="A20">
        <f>$H$3+((($H$4-$H$3)/100)*E20)</f>
        <v>16892.400000000001</v>
      </c>
      <c r="B20" s="8">
        <v>16472</v>
      </c>
      <c r="C20">
        <f>B20-A20</f>
        <v>-420.40000000000146</v>
      </c>
      <c r="D20" s="8"/>
      <c r="E20">
        <v>45</v>
      </c>
      <c r="F20">
        <f t="shared" si="1"/>
        <v>55</v>
      </c>
    </row>
    <row r="21" spans="1:15" x14ac:dyDescent="0.25">
      <c r="A21">
        <f>$H$3+((($H$4-$H$3)/100)*E21)</f>
        <v>18321</v>
      </c>
      <c r="B21" s="8">
        <v>17889</v>
      </c>
      <c r="C21">
        <f>B21-A21</f>
        <v>-432</v>
      </c>
      <c r="D21" s="8"/>
      <c r="E21">
        <v>50</v>
      </c>
      <c r="F21">
        <f t="shared" si="1"/>
        <v>50</v>
      </c>
    </row>
    <row r="22" spans="1:15" ht="15.75" thickBot="1" x14ac:dyDescent="0.3">
      <c r="A22">
        <f>$H$3+((($H$4-$H$3)/100)*E22)</f>
        <v>19749.600000000002</v>
      </c>
      <c r="B22" s="8">
        <v>19393</v>
      </c>
      <c r="C22">
        <f>B22-A22</f>
        <v>-356.60000000000218</v>
      </c>
      <c r="D22" s="8"/>
      <c r="E22">
        <v>55</v>
      </c>
      <c r="F22">
        <f t="shared" si="1"/>
        <v>45</v>
      </c>
    </row>
    <row r="23" spans="1:15" x14ac:dyDescent="0.25">
      <c r="A23">
        <f>$H$3+((($H$4-$H$3)/100)*E23)</f>
        <v>21178.2</v>
      </c>
      <c r="B23" s="8">
        <v>20947</v>
      </c>
      <c r="C23">
        <f>B23-A23</f>
        <v>-231.20000000000073</v>
      </c>
      <c r="D23" s="8"/>
      <c r="E23">
        <v>60</v>
      </c>
      <c r="F23">
        <f t="shared" si="1"/>
        <v>40</v>
      </c>
      <c r="N23" s="9">
        <v>3.5999999999999999E-3</v>
      </c>
      <c r="O23" s="2" t="s">
        <v>8</v>
      </c>
    </row>
    <row r="24" spans="1:15" x14ac:dyDescent="0.25">
      <c r="A24">
        <f>$H$3+((($H$4-$H$3)/100)*E24)</f>
        <v>22606.800000000003</v>
      </c>
      <c r="B24" s="8">
        <v>22592</v>
      </c>
      <c r="C24">
        <f>B24-A24</f>
        <v>-14.80000000000291</v>
      </c>
      <c r="D24" s="8">
        <v>35</v>
      </c>
      <c r="E24">
        <v>65</v>
      </c>
      <c r="F24">
        <f t="shared" si="1"/>
        <v>35</v>
      </c>
      <c r="N24" s="10">
        <v>-15.015000000000001</v>
      </c>
      <c r="O24" s="3" t="s">
        <v>9</v>
      </c>
    </row>
    <row r="25" spans="1:15" x14ac:dyDescent="0.25">
      <c r="A25">
        <f>$H$3+((($H$4-$H$3)/100)*E25)</f>
        <v>24035.4</v>
      </c>
      <c r="B25" s="8">
        <v>24092</v>
      </c>
      <c r="C25">
        <f>B25-A25</f>
        <v>56.599999999998545</v>
      </c>
      <c r="D25" s="8">
        <v>30</v>
      </c>
      <c r="E25">
        <v>70</v>
      </c>
      <c r="F25">
        <f t="shared" si="1"/>
        <v>30</v>
      </c>
      <c r="N25" s="6">
        <f>-N24/N23</f>
        <v>4170.8333333333339</v>
      </c>
      <c r="O25" s="3" t="s">
        <v>12</v>
      </c>
    </row>
    <row r="26" spans="1:15" ht="15.75" thickBot="1" x14ac:dyDescent="0.3">
      <c r="A26">
        <f>$H$3+((($H$4-$H$3)/100)*E26)</f>
        <v>25464.000000000004</v>
      </c>
      <c r="B26" s="8">
        <v>24092</v>
      </c>
      <c r="C26">
        <f>B26-A26</f>
        <v>-1372.0000000000036</v>
      </c>
      <c r="D26" s="8">
        <v>25</v>
      </c>
      <c r="E26">
        <v>75</v>
      </c>
      <c r="F26">
        <f t="shared" si="1"/>
        <v>25</v>
      </c>
      <c r="N26" s="7">
        <f>(100+-N24)/N23</f>
        <v>31948.611111111113</v>
      </c>
      <c r="O26" s="4" t="s">
        <v>11</v>
      </c>
    </row>
    <row r="27" spans="1:15" x14ac:dyDescent="0.25">
      <c r="A27">
        <f>$H$3+((($H$4-$H$3)/100)*E27)</f>
        <v>26892.600000000002</v>
      </c>
      <c r="B27" s="8">
        <v>24092</v>
      </c>
      <c r="C27">
        <f>B27-A27</f>
        <v>-2800.6000000000022</v>
      </c>
      <c r="D27" s="8"/>
      <c r="E27">
        <v>80</v>
      </c>
      <c r="F27">
        <f t="shared" si="1"/>
        <v>20</v>
      </c>
      <c r="L27" t="s">
        <v>2</v>
      </c>
      <c r="M27">
        <v>4441</v>
      </c>
      <c r="N27" s="12">
        <f>(M27*N23)+(N24)</f>
        <v>0.97259999999999813</v>
      </c>
      <c r="O27" s="14" t="s">
        <v>14</v>
      </c>
    </row>
    <row r="28" spans="1:15" x14ac:dyDescent="0.25">
      <c r="A28">
        <f>$H$3+((($H$4-$H$3)/100)*E28)</f>
        <v>28321.200000000001</v>
      </c>
      <c r="B28" s="8">
        <v>24092</v>
      </c>
      <c r="C28">
        <f>B28-A28</f>
        <v>-4229.2000000000007</v>
      </c>
      <c r="D28" s="8"/>
      <c r="E28">
        <v>85</v>
      </c>
      <c r="F28">
        <f t="shared" si="1"/>
        <v>15</v>
      </c>
    </row>
    <row r="29" spans="1:15" x14ac:dyDescent="0.25">
      <c r="A29">
        <f>$H$3+((($H$4-$H$3)/100)*E29)</f>
        <v>29749.800000000003</v>
      </c>
      <c r="B29" s="8">
        <v>24092</v>
      </c>
      <c r="C29">
        <f>B29-A29</f>
        <v>-5657.8000000000029</v>
      </c>
      <c r="D29" s="8"/>
      <c r="E29">
        <v>90</v>
      </c>
      <c r="F29">
        <f t="shared" si="1"/>
        <v>10</v>
      </c>
    </row>
    <row r="30" spans="1:15" x14ac:dyDescent="0.25">
      <c r="A30">
        <f>$H$3+((($H$4-$H$3)/100)*E30)</f>
        <v>30035.520000000004</v>
      </c>
      <c r="B30" s="8">
        <v>24092</v>
      </c>
      <c r="C30">
        <f>B30-A30</f>
        <v>-5943.5200000000041</v>
      </c>
      <c r="D30" s="8"/>
      <c r="E30">
        <v>91</v>
      </c>
      <c r="F30">
        <f t="shared" si="1"/>
        <v>9</v>
      </c>
    </row>
    <row r="31" spans="1:15" x14ac:dyDescent="0.25">
      <c r="A31">
        <f>$H$3+((($H$4-$H$3)/100)*E31)</f>
        <v>30321.24</v>
      </c>
      <c r="B31" s="8">
        <v>24092</v>
      </c>
      <c r="C31">
        <f>B31-A31</f>
        <v>-6229.2400000000016</v>
      </c>
      <c r="D31" s="8"/>
      <c r="E31">
        <v>92</v>
      </c>
      <c r="F31">
        <f t="shared" si="1"/>
        <v>8</v>
      </c>
    </row>
    <row r="32" spans="1:15" x14ac:dyDescent="0.25">
      <c r="A32">
        <f>$H$3+((($H$4-$H$3)/100)*E32)</f>
        <v>30606.960000000003</v>
      </c>
      <c r="B32" s="8">
        <v>24092</v>
      </c>
      <c r="C32">
        <f>B32-A32</f>
        <v>-6514.9600000000028</v>
      </c>
      <c r="D32" s="8"/>
      <c r="E32">
        <v>93</v>
      </c>
      <c r="F32">
        <f t="shared" si="1"/>
        <v>7</v>
      </c>
    </row>
    <row r="33" spans="1:16" x14ac:dyDescent="0.25">
      <c r="A33">
        <f>$H$3+((($H$4-$H$3)/100)*E33)</f>
        <v>30892.680000000004</v>
      </c>
      <c r="B33" s="8">
        <v>24092</v>
      </c>
      <c r="C33">
        <f>B33-A33</f>
        <v>-6800.6800000000039</v>
      </c>
      <c r="D33" s="8"/>
      <c r="E33">
        <v>94</v>
      </c>
      <c r="F33">
        <f t="shared" si="1"/>
        <v>6</v>
      </c>
    </row>
    <row r="34" spans="1:16" x14ac:dyDescent="0.25">
      <c r="A34">
        <f>$H$3+((($H$4-$H$3)/100)*E34)</f>
        <v>31178.400000000001</v>
      </c>
      <c r="B34" s="8">
        <v>24092</v>
      </c>
      <c r="C34">
        <f>B34-A34</f>
        <v>-7086.4000000000015</v>
      </c>
      <c r="D34" s="8"/>
      <c r="E34">
        <v>95</v>
      </c>
      <c r="F34">
        <f t="shared" si="1"/>
        <v>5</v>
      </c>
    </row>
    <row r="35" spans="1:16" x14ac:dyDescent="0.25">
      <c r="A35">
        <f>$H$3+((($H$4-$H$3)/100)*E35)</f>
        <v>31464.120000000003</v>
      </c>
      <c r="B35" s="8">
        <v>24092</v>
      </c>
      <c r="C35">
        <f>B35-A35</f>
        <v>-7372.1200000000026</v>
      </c>
      <c r="D35" s="8"/>
      <c r="E35">
        <v>96</v>
      </c>
      <c r="F35">
        <f t="shared" si="1"/>
        <v>4</v>
      </c>
    </row>
    <row r="36" spans="1:16" x14ac:dyDescent="0.25">
      <c r="A36">
        <f>$H$3+((($H$4-$H$3)/100)*E36)</f>
        <v>31749.840000000004</v>
      </c>
      <c r="B36" s="8">
        <v>24092</v>
      </c>
      <c r="C36">
        <f>B36-A36</f>
        <v>-7657.8400000000038</v>
      </c>
      <c r="D36" s="8"/>
      <c r="E36">
        <v>97</v>
      </c>
      <c r="F36">
        <f t="shared" si="1"/>
        <v>3</v>
      </c>
    </row>
    <row r="37" spans="1:16" x14ac:dyDescent="0.25">
      <c r="A37">
        <f>$H$3+((($H$4-$H$3)/100)*E37)</f>
        <v>32035.56</v>
      </c>
      <c r="B37" s="8">
        <v>24092</v>
      </c>
      <c r="C37">
        <f>B37-A37</f>
        <v>-7943.5600000000013</v>
      </c>
      <c r="D37" s="8"/>
      <c r="E37">
        <v>98</v>
      </c>
      <c r="F37">
        <f t="shared" si="1"/>
        <v>2</v>
      </c>
    </row>
    <row r="38" spans="1:16" x14ac:dyDescent="0.25">
      <c r="A38">
        <f>$H$3+((($H$4-$H$3)/100)*E38)</f>
        <v>32321.280000000002</v>
      </c>
      <c r="B38" s="8">
        <v>24092</v>
      </c>
      <c r="C38">
        <f>B38-A38</f>
        <v>-8229.2800000000025</v>
      </c>
      <c r="D38" s="8"/>
      <c r="E38">
        <v>99</v>
      </c>
      <c r="F38">
        <f t="shared" si="1"/>
        <v>1</v>
      </c>
    </row>
    <row r="39" spans="1:16" x14ac:dyDescent="0.25">
      <c r="A39">
        <f>$H$3+((($H$4-$H$3)/100)*E39)</f>
        <v>32607.000000000004</v>
      </c>
      <c r="B39" s="8">
        <v>24092</v>
      </c>
      <c r="C39">
        <f>B39-A39</f>
        <v>-8515.0000000000036</v>
      </c>
      <c r="D39" s="8"/>
      <c r="E39">
        <v>100</v>
      </c>
      <c r="F39">
        <f t="shared" si="1"/>
        <v>0</v>
      </c>
    </row>
    <row r="44" spans="1:16" ht="15.75" thickBot="1" x14ac:dyDescent="0.3">
      <c r="P44" t="s">
        <v>15</v>
      </c>
    </row>
    <row r="45" spans="1:16" x14ac:dyDescent="0.25">
      <c r="N45" s="5">
        <v>2.9999999999999997E-8</v>
      </c>
      <c r="O45" s="2" t="s">
        <v>8</v>
      </c>
    </row>
    <row r="46" spans="1:16" x14ac:dyDescent="0.25">
      <c r="N46" s="6">
        <v>2.7000000000000001E-3</v>
      </c>
      <c r="O46" s="3" t="s">
        <v>9</v>
      </c>
    </row>
    <row r="47" spans="1:16" ht="15.75" thickBot="1" x14ac:dyDescent="0.3">
      <c r="N47" s="15">
        <v>-8.8719000000000001</v>
      </c>
      <c r="O47" s="4" t="s">
        <v>10</v>
      </c>
    </row>
    <row r="48" spans="1:16" x14ac:dyDescent="0.25">
      <c r="L48" t="s">
        <v>2</v>
      </c>
      <c r="M48">
        <v>4441</v>
      </c>
      <c r="N48" s="12">
        <f>(M48*M48*N45)+(M48*N46)+(N47)</f>
        <v>3.7104744299999997</v>
      </c>
      <c r="O48" s="14" t="s">
        <v>14</v>
      </c>
    </row>
    <row r="49" spans="3:18" x14ac:dyDescent="0.25">
      <c r="N49" s="1"/>
    </row>
    <row r="50" spans="3:18" ht="15.75" thickBot="1" x14ac:dyDescent="0.3"/>
    <row r="51" spans="3:18" x14ac:dyDescent="0.25">
      <c r="N51" s="5">
        <v>-7.9999999999999998E-12</v>
      </c>
      <c r="O51" s="2" t="s">
        <v>8</v>
      </c>
      <c r="R51" s="16">
        <f>N51</f>
        <v>-7.9999999999999998E-12</v>
      </c>
    </row>
    <row r="52" spans="3:18" x14ac:dyDescent="0.25">
      <c r="N52" s="13">
        <v>2.9999999999999999E-7</v>
      </c>
      <c r="O52" s="3" t="s">
        <v>9</v>
      </c>
      <c r="R52" s="16">
        <f>N52</f>
        <v>2.9999999999999999E-7</v>
      </c>
    </row>
    <row r="53" spans="3:18" x14ac:dyDescent="0.25">
      <c r="N53" s="6">
        <v>-6.9999999999999999E-4</v>
      </c>
      <c r="O53" s="3" t="s">
        <v>10</v>
      </c>
      <c r="R53" s="16">
        <f>N53</f>
        <v>-6.9999999999999999E-4</v>
      </c>
    </row>
    <row r="54" spans="3:18" ht="15.75" thickBot="1" x14ac:dyDescent="0.3">
      <c r="N54" s="7">
        <v>1.1373</v>
      </c>
      <c r="O54" s="4" t="s">
        <v>13</v>
      </c>
      <c r="R54" s="16">
        <f>N54</f>
        <v>1.1373</v>
      </c>
    </row>
    <row r="55" spans="3:18" x14ac:dyDescent="0.25">
      <c r="C55" s="8"/>
      <c r="L55" t="s">
        <v>2</v>
      </c>
      <c r="M55">
        <v>4500</v>
      </c>
      <c r="N55" s="12">
        <f>(M55*M55*M55*N51)+(M55*M55*N52)+(M55*N53)+(N54)</f>
        <v>3.3332999999999995</v>
      </c>
      <c r="O55" s="14" t="s">
        <v>14</v>
      </c>
      <c r="P55">
        <v>4473</v>
      </c>
    </row>
    <row r="56" spans="3:18" x14ac:dyDescent="0.25">
      <c r="C56" s="8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F76A-408A-4BB3-ABD5-1951C6C48020}">
  <dimension ref="A1:L55"/>
  <sheetViews>
    <sheetView topLeftCell="A31" workbookViewId="0">
      <selection activeCell="G45" sqref="G45:I56"/>
    </sheetView>
  </sheetViews>
  <sheetFormatPr defaultRowHeight="15" x14ac:dyDescent="0.25"/>
  <cols>
    <col min="8" max="8" width="11" bestFit="1" customWidth="1"/>
    <col min="12" max="12" width="27.7109375" bestFit="1" customWidth="1"/>
    <col min="16" max="16" width="6.85546875" bestFit="1" customWidth="1"/>
    <col min="17" max="17" width="8.28515625" bestFit="1" customWidth="1"/>
    <col min="18" max="18" width="9" bestFit="1" customWidth="1"/>
    <col min="19" max="19" width="13.5703125" bestFit="1" customWidth="1"/>
  </cols>
  <sheetData>
    <row r="1" spans="1:6" x14ac:dyDescent="0.25">
      <c r="D1" t="s">
        <v>4</v>
      </c>
    </row>
    <row r="2" spans="1:6" x14ac:dyDescent="0.25">
      <c r="A2" t="s">
        <v>5</v>
      </c>
      <c r="B2" t="s">
        <v>6</v>
      </c>
      <c r="C2" t="s">
        <v>7</v>
      </c>
      <c r="E2" t="s">
        <v>2</v>
      </c>
      <c r="F2" t="s">
        <v>3</v>
      </c>
    </row>
    <row r="3" spans="1:6" x14ac:dyDescent="0.25">
      <c r="A3">
        <v>4000</v>
      </c>
      <c r="B3" s="8">
        <v>0</v>
      </c>
      <c r="C3">
        <f t="shared" ref="C3:C4" si="0">B3-A3</f>
        <v>-4000</v>
      </c>
      <c r="D3" s="8">
        <f>(A3-$F$5)*(100/($F$6-$F$5))</f>
        <v>-0.12249755004899902</v>
      </c>
      <c r="E3" s="8">
        <f>((F6-F5)/2)+F5</f>
        <v>18321</v>
      </c>
      <c r="F3">
        <f>(E3-$F$5)*(100/($F$6-$F$5))</f>
        <v>50</v>
      </c>
    </row>
    <row r="4" spans="1:6" x14ac:dyDescent="0.25">
      <c r="A4">
        <v>4100</v>
      </c>
      <c r="B4" s="8">
        <v>480</v>
      </c>
      <c r="C4">
        <f t="shared" si="0"/>
        <v>-3620</v>
      </c>
      <c r="D4" s="8">
        <v>0</v>
      </c>
    </row>
    <row r="5" spans="1:6" x14ac:dyDescent="0.25">
      <c r="A5">
        <v>4300</v>
      </c>
      <c r="B5" s="8">
        <v>2273</v>
      </c>
      <c r="C5">
        <f t="shared" ref="C5:C35" si="1">B5-A5</f>
        <v>-2027</v>
      </c>
      <c r="D5" s="8">
        <v>1</v>
      </c>
      <c r="E5" t="s">
        <v>0</v>
      </c>
      <c r="F5" s="8">
        <v>4035</v>
      </c>
    </row>
    <row r="6" spans="1:6" x14ac:dyDescent="0.25">
      <c r="A6">
        <v>4600</v>
      </c>
      <c r="B6" s="8">
        <v>3531</v>
      </c>
      <c r="C6">
        <f t="shared" si="1"/>
        <v>-1069</v>
      </c>
      <c r="D6" s="8">
        <v>2</v>
      </c>
      <c r="E6" t="s">
        <v>1</v>
      </c>
      <c r="F6" s="8">
        <v>32607</v>
      </c>
    </row>
    <row r="7" spans="1:6" x14ac:dyDescent="0.25">
      <c r="A7">
        <v>4800</v>
      </c>
      <c r="B7" s="8">
        <v>4425</v>
      </c>
      <c r="C7">
        <f t="shared" si="1"/>
        <v>-375</v>
      </c>
      <c r="D7" s="8">
        <v>3</v>
      </c>
    </row>
    <row r="8" spans="1:6" x14ac:dyDescent="0.25">
      <c r="A8">
        <v>5100</v>
      </c>
      <c r="B8" s="8">
        <v>5157</v>
      </c>
      <c r="C8">
        <f t="shared" si="1"/>
        <v>57</v>
      </c>
      <c r="D8" s="8">
        <v>4</v>
      </c>
    </row>
    <row r="9" spans="1:6" x14ac:dyDescent="0.25">
      <c r="A9">
        <v>5600</v>
      </c>
      <c r="B9" s="8">
        <v>6125</v>
      </c>
      <c r="C9">
        <f t="shared" si="1"/>
        <v>525</v>
      </c>
      <c r="D9" s="8">
        <v>6</v>
      </c>
    </row>
    <row r="10" spans="1:6" x14ac:dyDescent="0.25">
      <c r="A10">
        <v>5900</v>
      </c>
      <c r="B10" s="8">
        <v>6516</v>
      </c>
      <c r="C10">
        <f t="shared" si="1"/>
        <v>616</v>
      </c>
      <c r="D10" s="8">
        <v>7</v>
      </c>
    </row>
    <row r="11" spans="1:6" x14ac:dyDescent="0.25">
      <c r="A11">
        <v>6200</v>
      </c>
      <c r="B11" s="8">
        <v>6899</v>
      </c>
      <c r="C11">
        <f t="shared" si="1"/>
        <v>699</v>
      </c>
      <c r="D11" s="8">
        <v>8</v>
      </c>
    </row>
    <row r="12" spans="1:6" x14ac:dyDescent="0.25">
      <c r="A12">
        <v>6600</v>
      </c>
      <c r="B12" s="8">
        <v>7225</v>
      </c>
      <c r="C12">
        <f t="shared" si="1"/>
        <v>625</v>
      </c>
      <c r="D12" s="8">
        <v>9</v>
      </c>
    </row>
    <row r="13" spans="1:6" x14ac:dyDescent="0.25">
      <c r="A13">
        <v>7000</v>
      </c>
      <c r="B13" s="8">
        <v>7808</v>
      </c>
      <c r="C13">
        <f t="shared" si="1"/>
        <v>808</v>
      </c>
      <c r="D13" s="8">
        <v>11</v>
      </c>
    </row>
    <row r="14" spans="1:6" x14ac:dyDescent="0.25">
      <c r="A14">
        <v>7200</v>
      </c>
      <c r="B14" s="8">
        <v>8081</v>
      </c>
      <c r="C14">
        <f t="shared" si="1"/>
        <v>881</v>
      </c>
      <c r="D14" s="8">
        <v>12</v>
      </c>
    </row>
    <row r="15" spans="1:6" x14ac:dyDescent="0.25">
      <c r="A15">
        <v>7400</v>
      </c>
      <c r="B15" s="8">
        <v>8371</v>
      </c>
      <c r="C15">
        <f t="shared" si="1"/>
        <v>971</v>
      </c>
      <c r="D15" s="8">
        <v>13</v>
      </c>
    </row>
    <row r="16" spans="1:6" x14ac:dyDescent="0.25">
      <c r="A16">
        <v>7800</v>
      </c>
      <c r="B16" s="8">
        <v>8630</v>
      </c>
      <c r="C16">
        <f t="shared" si="1"/>
        <v>830</v>
      </c>
      <c r="D16" s="8">
        <v>14</v>
      </c>
    </row>
    <row r="17" spans="1:12" x14ac:dyDescent="0.25">
      <c r="A17">
        <v>8000</v>
      </c>
      <c r="B17" s="8">
        <v>8883</v>
      </c>
      <c r="C17">
        <f t="shared" si="1"/>
        <v>883</v>
      </c>
      <c r="D17" s="8">
        <v>15</v>
      </c>
    </row>
    <row r="18" spans="1:12" x14ac:dyDescent="0.25">
      <c r="A18">
        <v>8200</v>
      </c>
      <c r="B18" s="8">
        <v>9132</v>
      </c>
      <c r="C18">
        <f t="shared" si="1"/>
        <v>932</v>
      </c>
      <c r="D18" s="8">
        <v>16</v>
      </c>
    </row>
    <row r="19" spans="1:12" x14ac:dyDescent="0.25">
      <c r="A19">
        <v>8600</v>
      </c>
      <c r="B19" s="8">
        <v>9409</v>
      </c>
      <c r="C19">
        <f t="shared" si="1"/>
        <v>809</v>
      </c>
      <c r="D19" s="8">
        <v>17</v>
      </c>
    </row>
    <row r="20" spans="1:12" x14ac:dyDescent="0.25">
      <c r="A20">
        <v>9000</v>
      </c>
      <c r="B20" s="8">
        <v>9897</v>
      </c>
      <c r="C20">
        <f t="shared" si="1"/>
        <v>897</v>
      </c>
      <c r="D20" s="8">
        <v>19</v>
      </c>
    </row>
    <row r="21" spans="1:12" x14ac:dyDescent="0.25">
      <c r="A21">
        <v>9600</v>
      </c>
      <c r="B21" s="8">
        <v>10403</v>
      </c>
      <c r="C21">
        <f t="shared" si="1"/>
        <v>803</v>
      </c>
      <c r="D21" s="8">
        <v>21</v>
      </c>
    </row>
    <row r="22" spans="1:12" ht="15.75" thickBot="1" x14ac:dyDescent="0.3">
      <c r="A22">
        <v>9800</v>
      </c>
      <c r="B22" s="8">
        <v>10652</v>
      </c>
      <c r="C22">
        <f t="shared" si="1"/>
        <v>852</v>
      </c>
      <c r="D22" s="8">
        <v>22</v>
      </c>
    </row>
    <row r="23" spans="1:12" x14ac:dyDescent="0.25">
      <c r="A23">
        <v>10000</v>
      </c>
      <c r="B23" s="8">
        <v>10897</v>
      </c>
      <c r="C23">
        <f t="shared" si="1"/>
        <v>897</v>
      </c>
      <c r="D23" s="8">
        <v>23</v>
      </c>
      <c r="K23" s="9">
        <v>3.5000000000000001E-3</v>
      </c>
      <c r="L23" s="2" t="s">
        <v>8</v>
      </c>
    </row>
    <row r="24" spans="1:12" x14ac:dyDescent="0.25">
      <c r="A24">
        <v>11000</v>
      </c>
      <c r="B24" s="8">
        <v>11636</v>
      </c>
      <c r="C24">
        <f t="shared" si="1"/>
        <v>636</v>
      </c>
      <c r="D24" s="8">
        <v>26</v>
      </c>
      <c r="K24" s="10">
        <v>-14.125</v>
      </c>
      <c r="L24" s="3" t="s">
        <v>9</v>
      </c>
    </row>
    <row r="25" spans="1:12" x14ac:dyDescent="0.25">
      <c r="A25">
        <v>12000</v>
      </c>
      <c r="B25" s="8">
        <v>12654</v>
      </c>
      <c r="C25">
        <f t="shared" si="1"/>
        <v>654</v>
      </c>
      <c r="D25" s="8">
        <v>30</v>
      </c>
      <c r="K25" s="6">
        <f>-K24/K23</f>
        <v>4035.7142857142858</v>
      </c>
      <c r="L25" s="3" t="s">
        <v>12</v>
      </c>
    </row>
    <row r="26" spans="1:12" ht="15.75" thickBot="1" x14ac:dyDescent="0.3">
      <c r="A26">
        <v>13000</v>
      </c>
      <c r="B26" s="8">
        <v>13692</v>
      </c>
      <c r="C26">
        <f t="shared" si="1"/>
        <v>692</v>
      </c>
      <c r="D26" s="8">
        <v>34</v>
      </c>
      <c r="K26" s="7">
        <f>(100+-K24)/K23</f>
        <v>32607.142857142855</v>
      </c>
      <c r="L26" s="4" t="s">
        <v>11</v>
      </c>
    </row>
    <row r="27" spans="1:12" x14ac:dyDescent="0.25">
      <c r="A27">
        <v>14000</v>
      </c>
      <c r="B27" s="8">
        <v>14736</v>
      </c>
      <c r="C27">
        <f t="shared" si="1"/>
        <v>736</v>
      </c>
      <c r="D27" s="8">
        <v>38</v>
      </c>
    </row>
    <row r="28" spans="1:12" x14ac:dyDescent="0.25">
      <c r="A28">
        <v>15000</v>
      </c>
      <c r="B28" s="8">
        <v>15825</v>
      </c>
      <c r="C28">
        <f t="shared" si="1"/>
        <v>825</v>
      </c>
      <c r="D28" s="8">
        <v>42</v>
      </c>
    </row>
    <row r="29" spans="1:12" x14ac:dyDescent="0.25">
      <c r="A29">
        <v>16000</v>
      </c>
      <c r="B29" s="8">
        <v>16950</v>
      </c>
      <c r="C29">
        <f t="shared" si="1"/>
        <v>950</v>
      </c>
      <c r="D29" s="8">
        <v>46</v>
      </c>
    </row>
    <row r="30" spans="1:12" x14ac:dyDescent="0.25">
      <c r="A30">
        <v>17000</v>
      </c>
      <c r="B30" s="8">
        <v>17825</v>
      </c>
      <c r="C30">
        <f t="shared" si="1"/>
        <v>825</v>
      </c>
      <c r="D30" s="8">
        <v>50</v>
      </c>
    </row>
    <row r="31" spans="1:12" x14ac:dyDescent="0.25">
      <c r="A31">
        <v>18000</v>
      </c>
      <c r="B31" s="8">
        <v>19012</v>
      </c>
      <c r="C31">
        <f t="shared" si="1"/>
        <v>1012</v>
      </c>
      <c r="D31" s="8">
        <v>53</v>
      </c>
    </row>
    <row r="32" spans="1:12" x14ac:dyDescent="0.25">
      <c r="A32">
        <v>19000</v>
      </c>
      <c r="B32" s="8">
        <v>20236</v>
      </c>
      <c r="C32">
        <f t="shared" si="1"/>
        <v>1236</v>
      </c>
      <c r="D32" s="8">
        <v>57</v>
      </c>
    </row>
    <row r="33" spans="1:9" x14ac:dyDescent="0.25">
      <c r="A33">
        <v>20000</v>
      </c>
      <c r="B33" s="8">
        <v>21510</v>
      </c>
      <c r="C33">
        <f t="shared" si="1"/>
        <v>1510</v>
      </c>
      <c r="D33" s="8">
        <v>61</v>
      </c>
    </row>
    <row r="34" spans="1:9" x14ac:dyDescent="0.25">
      <c r="A34">
        <v>21000</v>
      </c>
      <c r="B34" s="8">
        <v>22851</v>
      </c>
      <c r="C34">
        <f t="shared" si="1"/>
        <v>1851</v>
      </c>
      <c r="D34" s="8">
        <v>65</v>
      </c>
    </row>
    <row r="35" spans="1:9" x14ac:dyDescent="0.25">
      <c r="A35">
        <v>22000</v>
      </c>
      <c r="B35" s="8">
        <v>24099</v>
      </c>
      <c r="C35">
        <f t="shared" si="1"/>
        <v>2099</v>
      </c>
      <c r="D35" s="8">
        <v>69</v>
      </c>
    </row>
    <row r="44" spans="1:9" ht="15.75" thickBot="1" x14ac:dyDescent="0.3"/>
    <row r="45" spans="1:9" x14ac:dyDescent="0.25">
      <c r="H45" s="5">
        <v>2.9999999999999997E-8</v>
      </c>
      <c r="I45" s="2" t="s">
        <v>8</v>
      </c>
    </row>
    <row r="46" spans="1:9" x14ac:dyDescent="0.25">
      <c r="H46" s="6">
        <v>2.7000000000000001E-3</v>
      </c>
      <c r="I46" s="3" t="s">
        <v>9</v>
      </c>
    </row>
    <row r="47" spans="1:9" ht="15.75" thickBot="1" x14ac:dyDescent="0.3">
      <c r="H47" s="11">
        <v>-10.318</v>
      </c>
      <c r="I47" s="4" t="s">
        <v>10</v>
      </c>
    </row>
    <row r="48" spans="1:9" x14ac:dyDescent="0.25">
      <c r="G48">
        <v>24000</v>
      </c>
      <c r="H48" s="12">
        <f>(H45*G48*G48)+(H46*G48)+H47</f>
        <v>71.762</v>
      </c>
    </row>
    <row r="49" spans="7:9" x14ac:dyDescent="0.25">
      <c r="H49" s="1"/>
    </row>
    <row r="50" spans="7:9" ht="15.75" thickBot="1" x14ac:dyDescent="0.3"/>
    <row r="51" spans="7:9" x14ac:dyDescent="0.25">
      <c r="H51" s="5">
        <v>-7.9999999999999998E-12</v>
      </c>
      <c r="I51" s="2" t="s">
        <v>8</v>
      </c>
    </row>
    <row r="52" spans="7:9" x14ac:dyDescent="0.25">
      <c r="H52" s="13">
        <v>2.9999999999999999E-7</v>
      </c>
      <c r="I52" s="3" t="s">
        <v>9</v>
      </c>
    </row>
    <row r="53" spans="7:9" x14ac:dyDescent="0.25">
      <c r="H53" s="6">
        <v>5.9999999999999995E-4</v>
      </c>
      <c r="I53" s="3" t="s">
        <v>10</v>
      </c>
    </row>
    <row r="54" spans="7:9" ht="15.75" thickBot="1" x14ac:dyDescent="0.3">
      <c r="H54" s="7">
        <v>-0.25650000000000001</v>
      </c>
      <c r="I54" s="4" t="s">
        <v>13</v>
      </c>
    </row>
    <row r="55" spans="7:9" x14ac:dyDescent="0.25">
      <c r="G55">
        <v>24000</v>
      </c>
      <c r="H55" s="12">
        <f>(H51*G55*G55*G55)+(H52*G55*G55)+(H53*G55)+H54</f>
        <v>76.351499999999973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 RPM to measured RPM</vt:lpstr>
      <vt:lpstr>_delete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kyrk</dc:creator>
  <cp:lastModifiedBy>kyrk</cp:lastModifiedBy>
  <cp:lastPrinted>2023-09-06T13:32:41Z</cp:lastPrinted>
  <dcterms:created xsi:type="dcterms:W3CDTF">2019-11-28T16:29:00Z</dcterms:created>
  <dcterms:modified xsi:type="dcterms:W3CDTF">2023-09-06T14:37:46Z</dcterms:modified>
</cp:coreProperties>
</file>